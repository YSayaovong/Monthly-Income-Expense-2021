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ersonal\projects\"/>
    </mc:Choice>
  </mc:AlternateContent>
  <xr:revisionPtr revIDLastSave="0" documentId="13_ncr:1_{FC81BEED-F81B-45C7-AB1E-2968EB31DB81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Jan 2021" sheetId="1" r:id="rId1"/>
    <sheet name="Feb 2021" sheetId="2" r:id="rId2"/>
    <sheet name="March 2021" sheetId="4" r:id="rId3"/>
    <sheet name="April 2021" sheetId="5" r:id="rId4"/>
    <sheet name="May 2021" sheetId="6" r:id="rId5"/>
    <sheet name="June 2021" sheetId="7" r:id="rId6"/>
    <sheet name="July 2021" sheetId="8" r:id="rId7"/>
    <sheet name="Aug 2021" sheetId="9" r:id="rId8"/>
    <sheet name="Sept 2021" sheetId="10" r:id="rId9"/>
    <sheet name="Oct 2021" sheetId="11" r:id="rId10"/>
    <sheet name="Nov 2021" sheetId="12" r:id="rId11"/>
    <sheet name="Dec 2021" sheetId="13" r:id="rId12"/>
    <sheet name="Year End Report" sheetId="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3" l="1"/>
  <c r="F39" i="12"/>
  <c r="G39" i="12" s="1"/>
  <c r="F39" i="11"/>
  <c r="G39" i="11" s="1"/>
  <c r="F39" i="10"/>
  <c r="F39" i="9"/>
  <c r="G39" i="9" s="1"/>
  <c r="F39" i="8"/>
  <c r="F39" i="7"/>
  <c r="F39" i="6"/>
  <c r="F39" i="5"/>
  <c r="F39" i="4"/>
  <c r="G39" i="4" s="1"/>
  <c r="F39" i="2"/>
  <c r="F39" i="1"/>
  <c r="E8" i="3"/>
  <c r="G8" i="3"/>
  <c r="D57" i="12"/>
  <c r="D55" i="12"/>
  <c r="G49" i="12"/>
  <c r="G48" i="12"/>
  <c r="G47" i="12"/>
  <c r="G46" i="12"/>
  <c r="F45" i="12"/>
  <c r="G45" i="12" s="1"/>
  <c r="F44" i="12"/>
  <c r="G44" i="12" s="1"/>
  <c r="G43" i="12"/>
  <c r="F43" i="12"/>
  <c r="F42" i="12"/>
  <c r="G42" i="12" s="1"/>
  <c r="F41" i="12"/>
  <c r="G41" i="12" s="1"/>
  <c r="F40" i="12"/>
  <c r="G40" i="12" s="1"/>
  <c r="F38" i="12"/>
  <c r="F37" i="12"/>
  <c r="G37" i="12" s="1"/>
  <c r="F36" i="12"/>
  <c r="G36" i="12" s="1"/>
  <c r="F35" i="12"/>
  <c r="G35" i="12" s="1"/>
  <c r="G34" i="12"/>
  <c r="F34" i="12"/>
  <c r="F33" i="12"/>
  <c r="G33" i="12" s="1"/>
  <c r="G32" i="12"/>
  <c r="G31" i="12"/>
  <c r="G30" i="12"/>
  <c r="F29" i="12"/>
  <c r="G29" i="12" s="1"/>
  <c r="F28" i="12"/>
  <c r="G28" i="12" s="1"/>
  <c r="G27" i="12"/>
  <c r="F27" i="12"/>
  <c r="F26" i="12"/>
  <c r="G26" i="12" s="1"/>
  <c r="F25" i="12"/>
  <c r="G25" i="12" s="1"/>
  <c r="F24" i="12"/>
  <c r="F23" i="12"/>
  <c r="G23" i="12" s="1"/>
  <c r="E22" i="12"/>
  <c r="G21" i="12"/>
  <c r="G20" i="12"/>
  <c r="G19" i="12"/>
  <c r="G18" i="12"/>
  <c r="G17" i="12"/>
  <c r="G16" i="12"/>
  <c r="G15" i="12"/>
  <c r="F14" i="12"/>
  <c r="F9" i="12" s="1"/>
  <c r="G13" i="12"/>
  <c r="G12" i="12"/>
  <c r="G11" i="12"/>
  <c r="G10" i="12"/>
  <c r="E9" i="12"/>
  <c r="G8" i="12"/>
  <c r="G7" i="12"/>
  <c r="F6" i="12"/>
  <c r="E6" i="12"/>
  <c r="G6" i="12" s="1"/>
  <c r="F5" i="12"/>
  <c r="E5" i="12"/>
  <c r="G5" i="12" s="1"/>
  <c r="D57" i="13"/>
  <c r="D55" i="13" s="1"/>
  <c r="G49" i="13"/>
  <c r="G48" i="13"/>
  <c r="G47" i="13"/>
  <c r="G46" i="13"/>
  <c r="F45" i="13"/>
  <c r="G45" i="13" s="1"/>
  <c r="F44" i="13"/>
  <c r="G44" i="13" s="1"/>
  <c r="F43" i="13"/>
  <c r="G43" i="13" s="1"/>
  <c r="F42" i="13"/>
  <c r="G42" i="13" s="1"/>
  <c r="G41" i="13"/>
  <c r="F41" i="13"/>
  <c r="F40" i="13"/>
  <c r="G40" i="13" s="1"/>
  <c r="G39" i="13"/>
  <c r="F38" i="13"/>
  <c r="F37" i="13"/>
  <c r="G37" i="13" s="1"/>
  <c r="G36" i="13"/>
  <c r="F36" i="13"/>
  <c r="F35" i="13"/>
  <c r="G35" i="13" s="1"/>
  <c r="F34" i="13"/>
  <c r="G34" i="13" s="1"/>
  <c r="F33" i="13"/>
  <c r="G33" i="13" s="1"/>
  <c r="G32" i="13"/>
  <c r="G31" i="13"/>
  <c r="G30" i="13"/>
  <c r="F29" i="13"/>
  <c r="G29" i="13" s="1"/>
  <c r="F28" i="13"/>
  <c r="G28" i="13" s="1"/>
  <c r="G27" i="13"/>
  <c r="F27" i="13"/>
  <c r="F26" i="13"/>
  <c r="G26" i="13" s="1"/>
  <c r="F25" i="13"/>
  <c r="G25" i="13" s="1"/>
  <c r="F24" i="13"/>
  <c r="F22" i="13" s="1"/>
  <c r="G22" i="13" s="1"/>
  <c r="F23" i="13"/>
  <c r="G23" i="13" s="1"/>
  <c r="E22" i="13"/>
  <c r="G21" i="13"/>
  <c r="G20" i="13"/>
  <c r="G19" i="13"/>
  <c r="G18" i="13"/>
  <c r="G17" i="13"/>
  <c r="G16" i="13"/>
  <c r="G15" i="13"/>
  <c r="F14" i="13"/>
  <c r="G14" i="13" s="1"/>
  <c r="G13" i="13"/>
  <c r="G12" i="13"/>
  <c r="G11" i="13"/>
  <c r="G10" i="13"/>
  <c r="E9" i="13"/>
  <c r="E51" i="13" s="1"/>
  <c r="G8" i="13"/>
  <c r="G7" i="13"/>
  <c r="G6" i="13"/>
  <c r="F6" i="13"/>
  <c r="E6" i="13"/>
  <c r="F5" i="13"/>
  <c r="E5" i="13"/>
  <c r="G5" i="13" s="1"/>
  <c r="D57" i="11"/>
  <c r="D55" i="11" s="1"/>
  <c r="G49" i="11"/>
  <c r="G48" i="11"/>
  <c r="G47" i="11"/>
  <c r="G46" i="11"/>
  <c r="F45" i="11"/>
  <c r="G45" i="11" s="1"/>
  <c r="G44" i="11"/>
  <c r="F44" i="11"/>
  <c r="F43" i="11"/>
  <c r="G43" i="11" s="1"/>
  <c r="G42" i="11"/>
  <c r="F42" i="11"/>
  <c r="F41" i="11"/>
  <c r="G41" i="11" s="1"/>
  <c r="G40" i="11"/>
  <c r="F40" i="11"/>
  <c r="F38" i="11"/>
  <c r="G37" i="11"/>
  <c r="F37" i="11"/>
  <c r="F36" i="11"/>
  <c r="G36" i="11" s="1"/>
  <c r="G35" i="11"/>
  <c r="F35" i="11"/>
  <c r="F34" i="11"/>
  <c r="G34" i="11" s="1"/>
  <c r="G33" i="11"/>
  <c r="F33" i="11"/>
  <c r="G32" i="11"/>
  <c r="G31" i="11"/>
  <c r="G30" i="11"/>
  <c r="G29" i="11"/>
  <c r="F29" i="11"/>
  <c r="F28" i="11"/>
  <c r="G28" i="11" s="1"/>
  <c r="G27" i="11"/>
  <c r="F27" i="11"/>
  <c r="F26" i="11"/>
  <c r="G26" i="11" s="1"/>
  <c r="F25" i="11"/>
  <c r="G25" i="11"/>
  <c r="G24" i="11"/>
  <c r="F24" i="11"/>
  <c r="F23" i="11"/>
  <c r="G23" i="11" s="1"/>
  <c r="E22" i="11"/>
  <c r="G21" i="11"/>
  <c r="G20" i="11"/>
  <c r="G19" i="11"/>
  <c r="G18" i="11"/>
  <c r="G17" i="11"/>
  <c r="G16" i="11"/>
  <c r="G15" i="11"/>
  <c r="F14" i="11"/>
  <c r="F9" i="11" s="1"/>
  <c r="G13" i="11"/>
  <c r="G12" i="11"/>
  <c r="G11" i="11"/>
  <c r="G10" i="11"/>
  <c r="E9" i="11"/>
  <c r="E51" i="11" s="1"/>
  <c r="G8" i="11"/>
  <c r="G7" i="11"/>
  <c r="F6" i="11"/>
  <c r="E6" i="11"/>
  <c r="G6" i="11" s="1"/>
  <c r="F5" i="11"/>
  <c r="E5" i="11"/>
  <c r="G5" i="11" s="1"/>
  <c r="D57" i="10"/>
  <c r="D55" i="10"/>
  <c r="G49" i="10"/>
  <c r="G48" i="10"/>
  <c r="G47" i="10"/>
  <c r="G46" i="10"/>
  <c r="F45" i="10"/>
  <c r="G45" i="10" s="1"/>
  <c r="G44" i="10"/>
  <c r="F44" i="10"/>
  <c r="F43" i="10"/>
  <c r="G43" i="10" s="1"/>
  <c r="F42" i="10"/>
  <c r="G42" i="10" s="1"/>
  <c r="F41" i="10"/>
  <c r="G41" i="10" s="1"/>
  <c r="G40" i="10"/>
  <c r="F40" i="10"/>
  <c r="G39" i="10"/>
  <c r="F38" i="10"/>
  <c r="F37" i="10"/>
  <c r="G37" i="10" s="1"/>
  <c r="F36" i="10"/>
  <c r="G36" i="10" s="1"/>
  <c r="G35" i="10"/>
  <c r="F35" i="10"/>
  <c r="F34" i="10"/>
  <c r="G34" i="10" s="1"/>
  <c r="F33" i="10"/>
  <c r="G33" i="10" s="1"/>
  <c r="G32" i="10"/>
  <c r="G31" i="10"/>
  <c r="G30" i="10"/>
  <c r="F29" i="10"/>
  <c r="G29" i="10" s="1"/>
  <c r="F28" i="10"/>
  <c r="G28" i="10" s="1"/>
  <c r="G27" i="10"/>
  <c r="F27" i="10"/>
  <c r="F26" i="10"/>
  <c r="G26" i="10" s="1"/>
  <c r="F25" i="10"/>
  <c r="G25" i="10" s="1"/>
  <c r="F24" i="10"/>
  <c r="F22" i="10" s="1"/>
  <c r="F23" i="10"/>
  <c r="G23" i="10" s="1"/>
  <c r="E22" i="10"/>
  <c r="G21" i="10"/>
  <c r="G20" i="10"/>
  <c r="G19" i="10"/>
  <c r="G18" i="10"/>
  <c r="G17" i="10"/>
  <c r="G16" i="10"/>
  <c r="G15" i="10"/>
  <c r="F14" i="10"/>
  <c r="G14" i="10" s="1"/>
  <c r="G13" i="10"/>
  <c r="G12" i="10"/>
  <c r="G11" i="10"/>
  <c r="G10" i="10"/>
  <c r="E9" i="10"/>
  <c r="G8" i="10"/>
  <c r="G7" i="10"/>
  <c r="F6" i="10"/>
  <c r="E6" i="10"/>
  <c r="G6" i="10" s="1"/>
  <c r="F5" i="10"/>
  <c r="E5" i="10"/>
  <c r="G5" i="10" s="1"/>
  <c r="D57" i="9"/>
  <c r="D55" i="9" s="1"/>
  <c r="G49" i="9"/>
  <c r="G48" i="9"/>
  <c r="G47" i="9"/>
  <c r="G46" i="9"/>
  <c r="F45" i="9"/>
  <c r="G45" i="9" s="1"/>
  <c r="G44" i="9"/>
  <c r="F44" i="9"/>
  <c r="F43" i="9"/>
  <c r="G43" i="9" s="1"/>
  <c r="F42" i="9"/>
  <c r="G42" i="9" s="1"/>
  <c r="F41" i="9"/>
  <c r="G41" i="9" s="1"/>
  <c r="G40" i="9"/>
  <c r="F40" i="9"/>
  <c r="F38" i="9"/>
  <c r="F37" i="9"/>
  <c r="G37" i="9" s="1"/>
  <c r="F36" i="9"/>
  <c r="G36" i="9" s="1"/>
  <c r="G35" i="9"/>
  <c r="F35" i="9"/>
  <c r="F34" i="9"/>
  <c r="G34" i="9" s="1"/>
  <c r="F33" i="9"/>
  <c r="G33" i="9" s="1"/>
  <c r="G32" i="9"/>
  <c r="G31" i="9"/>
  <c r="G30" i="9"/>
  <c r="F29" i="9"/>
  <c r="G29" i="9" s="1"/>
  <c r="F28" i="9"/>
  <c r="G28" i="9" s="1"/>
  <c r="G27" i="9"/>
  <c r="F27" i="9"/>
  <c r="F26" i="9"/>
  <c r="G26" i="9" s="1"/>
  <c r="F25" i="9"/>
  <c r="G25" i="9" s="1"/>
  <c r="F24" i="9"/>
  <c r="G24" i="9" s="1"/>
  <c r="F23" i="9"/>
  <c r="G23" i="9" s="1"/>
  <c r="E22" i="9"/>
  <c r="G21" i="9"/>
  <c r="G20" i="9"/>
  <c r="G19" i="9"/>
  <c r="G18" i="9"/>
  <c r="G17" i="9"/>
  <c r="G16" i="9"/>
  <c r="G15" i="9"/>
  <c r="F14" i="9"/>
  <c r="F9" i="9" s="1"/>
  <c r="G13" i="9"/>
  <c r="G12" i="9"/>
  <c r="G11" i="9"/>
  <c r="G10" i="9"/>
  <c r="E9" i="9"/>
  <c r="G8" i="9"/>
  <c r="G7" i="9"/>
  <c r="F6" i="9"/>
  <c r="E6" i="9"/>
  <c r="G6" i="9" s="1"/>
  <c r="F5" i="9"/>
  <c r="E5" i="9"/>
  <c r="G5" i="9" s="1"/>
  <c r="D57" i="8"/>
  <c r="D55" i="8" s="1"/>
  <c r="G49" i="8"/>
  <c r="G48" i="8"/>
  <c r="G47" i="8"/>
  <c r="G46" i="8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G39" i="8"/>
  <c r="F38" i="8"/>
  <c r="F37" i="8"/>
  <c r="G37" i="8" s="1"/>
  <c r="F36" i="8"/>
  <c r="G36" i="8" s="1"/>
  <c r="F35" i="8"/>
  <c r="G35" i="8" s="1"/>
  <c r="F34" i="8"/>
  <c r="G34" i="8" s="1"/>
  <c r="F33" i="8"/>
  <c r="G33" i="8" s="1"/>
  <c r="G32" i="8"/>
  <c r="G31" i="8"/>
  <c r="G30" i="8"/>
  <c r="F29" i="8"/>
  <c r="G29" i="8" s="1"/>
  <c r="F28" i="8"/>
  <c r="G28" i="8" s="1"/>
  <c r="G27" i="8"/>
  <c r="F27" i="8"/>
  <c r="F26" i="8"/>
  <c r="G26" i="8" s="1"/>
  <c r="F25" i="8"/>
  <c r="G25" i="8" s="1"/>
  <c r="F24" i="8"/>
  <c r="G24" i="8" s="1"/>
  <c r="F23" i="8"/>
  <c r="G23" i="8" s="1"/>
  <c r="E22" i="8"/>
  <c r="G21" i="8"/>
  <c r="G20" i="8"/>
  <c r="G19" i="8"/>
  <c r="G18" i="8"/>
  <c r="G17" i="8"/>
  <c r="G16" i="8"/>
  <c r="G15" i="8"/>
  <c r="F14" i="8"/>
  <c r="G14" i="8" s="1"/>
  <c r="G13" i="8"/>
  <c r="G12" i="8"/>
  <c r="G11" i="8"/>
  <c r="G10" i="8"/>
  <c r="E9" i="8"/>
  <c r="G8" i="8"/>
  <c r="G7" i="8"/>
  <c r="F6" i="8"/>
  <c r="E6" i="8"/>
  <c r="G6" i="8" s="1"/>
  <c r="F5" i="8"/>
  <c r="E5" i="8"/>
  <c r="G5" i="8" s="1"/>
  <c r="D57" i="7"/>
  <c r="D55" i="7"/>
  <c r="G49" i="7"/>
  <c r="G48" i="7"/>
  <c r="G47" i="7"/>
  <c r="G46" i="7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G39" i="7"/>
  <c r="F38" i="7"/>
  <c r="F37" i="7"/>
  <c r="G37" i="7" s="1"/>
  <c r="F36" i="7"/>
  <c r="G36" i="7" s="1"/>
  <c r="F35" i="7"/>
  <c r="G35" i="7" s="1"/>
  <c r="F34" i="7"/>
  <c r="G34" i="7" s="1"/>
  <c r="F33" i="7"/>
  <c r="G33" i="7" s="1"/>
  <c r="G32" i="7"/>
  <c r="G31" i="7"/>
  <c r="G30" i="7"/>
  <c r="F29" i="7"/>
  <c r="G29" i="7" s="1"/>
  <c r="F28" i="7"/>
  <c r="G28" i="7" s="1"/>
  <c r="G27" i="7"/>
  <c r="F27" i="7"/>
  <c r="G26" i="7"/>
  <c r="F26" i="7"/>
  <c r="F25" i="7"/>
  <c r="G25" i="7" s="1"/>
  <c r="E22" i="7"/>
  <c r="F24" i="7"/>
  <c r="G24" i="7" s="1"/>
  <c r="G23" i="7"/>
  <c r="F23" i="7"/>
  <c r="G21" i="7"/>
  <c r="G20" i="7"/>
  <c r="G19" i="7"/>
  <c r="G18" i="7"/>
  <c r="G17" i="7"/>
  <c r="G16" i="7"/>
  <c r="G15" i="7"/>
  <c r="F14" i="7"/>
  <c r="F9" i="7" s="1"/>
  <c r="G13" i="7"/>
  <c r="G12" i="7"/>
  <c r="G11" i="7"/>
  <c r="G10" i="7"/>
  <c r="E9" i="7"/>
  <c r="G8" i="7"/>
  <c r="G7" i="7"/>
  <c r="F6" i="7"/>
  <c r="E6" i="7"/>
  <c r="G6" i="7" s="1"/>
  <c r="F5" i="7"/>
  <c r="E5" i="7"/>
  <c r="G5" i="7" s="1"/>
  <c r="D57" i="6"/>
  <c r="D55" i="6" s="1"/>
  <c r="G49" i="6"/>
  <c r="G48" i="6"/>
  <c r="G47" i="6"/>
  <c r="G46" i="6"/>
  <c r="G45" i="6"/>
  <c r="F45" i="6"/>
  <c r="G44" i="6"/>
  <c r="F44" i="6"/>
  <c r="F43" i="6"/>
  <c r="G43" i="6" s="1"/>
  <c r="F42" i="6"/>
  <c r="G42" i="6" s="1"/>
  <c r="G41" i="6"/>
  <c r="F41" i="6"/>
  <c r="G40" i="6"/>
  <c r="F40" i="6"/>
  <c r="G39" i="6"/>
  <c r="F38" i="6"/>
  <c r="F37" i="6"/>
  <c r="G37" i="6" s="1"/>
  <c r="G36" i="6"/>
  <c r="F36" i="6"/>
  <c r="G35" i="6"/>
  <c r="F35" i="6"/>
  <c r="F34" i="6"/>
  <c r="G34" i="6" s="1"/>
  <c r="F33" i="6"/>
  <c r="G33" i="6" s="1"/>
  <c r="G32" i="6"/>
  <c r="G31" i="6"/>
  <c r="G30" i="6"/>
  <c r="F29" i="6"/>
  <c r="G29" i="6" s="1"/>
  <c r="F28" i="6"/>
  <c r="G28" i="6" s="1"/>
  <c r="F27" i="6"/>
  <c r="G27" i="6" s="1"/>
  <c r="F26" i="6"/>
  <c r="G26" i="6" s="1"/>
  <c r="F25" i="6"/>
  <c r="G25" i="6" s="1"/>
  <c r="F24" i="6"/>
  <c r="F22" i="6" s="1"/>
  <c r="E22" i="6"/>
  <c r="F23" i="6"/>
  <c r="G23" i="6" s="1"/>
  <c r="G21" i="6"/>
  <c r="G20" i="6"/>
  <c r="G19" i="6"/>
  <c r="G18" i="6"/>
  <c r="G17" i="6"/>
  <c r="G16" i="6"/>
  <c r="G15" i="6"/>
  <c r="F14" i="6"/>
  <c r="G14" i="6" s="1"/>
  <c r="G13" i="6"/>
  <c r="G12" i="6"/>
  <c r="G11" i="6"/>
  <c r="G10" i="6"/>
  <c r="E9" i="6"/>
  <c r="G8" i="6"/>
  <c r="G7" i="6"/>
  <c r="G6" i="6"/>
  <c r="F6" i="6"/>
  <c r="E6" i="6"/>
  <c r="F5" i="6"/>
  <c r="E5" i="6"/>
  <c r="G5" i="6" s="1"/>
  <c r="D57" i="5"/>
  <c r="D55" i="5"/>
  <c r="G49" i="5"/>
  <c r="G48" i="5"/>
  <c r="G47" i="5"/>
  <c r="G46" i="5"/>
  <c r="F45" i="5"/>
  <c r="G45" i="5" s="1"/>
  <c r="G44" i="5"/>
  <c r="F44" i="5"/>
  <c r="F43" i="5"/>
  <c r="G43" i="5" s="1"/>
  <c r="F42" i="5"/>
  <c r="G42" i="5" s="1"/>
  <c r="F41" i="5"/>
  <c r="G41" i="5" s="1"/>
  <c r="G40" i="5"/>
  <c r="F40" i="5"/>
  <c r="G39" i="5"/>
  <c r="F38" i="5"/>
  <c r="F37" i="5"/>
  <c r="G37" i="5" s="1"/>
  <c r="F36" i="5"/>
  <c r="G36" i="5" s="1"/>
  <c r="G35" i="5"/>
  <c r="F35" i="5"/>
  <c r="F34" i="5"/>
  <c r="G34" i="5" s="1"/>
  <c r="F33" i="5"/>
  <c r="G33" i="5" s="1"/>
  <c r="G32" i="5"/>
  <c r="G31" i="5"/>
  <c r="G30" i="5"/>
  <c r="F29" i="5"/>
  <c r="G29" i="5" s="1"/>
  <c r="F28" i="5"/>
  <c r="G28" i="5" s="1"/>
  <c r="G27" i="5"/>
  <c r="F27" i="5"/>
  <c r="F26" i="5"/>
  <c r="G26" i="5" s="1"/>
  <c r="F25" i="5"/>
  <c r="G25" i="5" s="1"/>
  <c r="F24" i="5"/>
  <c r="F22" i="5" s="1"/>
  <c r="F23" i="5"/>
  <c r="G23" i="5" s="1"/>
  <c r="E22" i="5"/>
  <c r="G21" i="5"/>
  <c r="G20" i="5"/>
  <c r="G19" i="5"/>
  <c r="G18" i="5"/>
  <c r="G17" i="5"/>
  <c r="G16" i="5"/>
  <c r="G15" i="5"/>
  <c r="F14" i="5"/>
  <c r="F9" i="5" s="1"/>
  <c r="G13" i="5"/>
  <c r="G12" i="5"/>
  <c r="G11" i="5"/>
  <c r="G10" i="5"/>
  <c r="E9" i="5"/>
  <c r="G8" i="5"/>
  <c r="G7" i="5"/>
  <c r="F6" i="5"/>
  <c r="E6" i="5"/>
  <c r="G6" i="5" s="1"/>
  <c r="F5" i="5"/>
  <c r="E5" i="5"/>
  <c r="G5" i="5" s="1"/>
  <c r="D57" i="4"/>
  <c r="D55" i="4" s="1"/>
  <c r="G49" i="4"/>
  <c r="G48" i="4"/>
  <c r="G47" i="4"/>
  <c r="G46" i="4"/>
  <c r="F45" i="4"/>
  <c r="G45" i="4" s="1"/>
  <c r="G44" i="4"/>
  <c r="F44" i="4"/>
  <c r="F43" i="4"/>
  <c r="G43" i="4" s="1"/>
  <c r="F42" i="4"/>
  <c r="G42" i="4" s="1"/>
  <c r="F41" i="4"/>
  <c r="G41" i="4" s="1"/>
  <c r="G40" i="4"/>
  <c r="F40" i="4"/>
  <c r="F38" i="4"/>
  <c r="F37" i="4"/>
  <c r="G37" i="4" s="1"/>
  <c r="F36" i="4"/>
  <c r="G36" i="4" s="1"/>
  <c r="G35" i="4"/>
  <c r="F35" i="4"/>
  <c r="F34" i="4"/>
  <c r="G34" i="4" s="1"/>
  <c r="F33" i="4"/>
  <c r="G33" i="4" s="1"/>
  <c r="G32" i="4"/>
  <c r="G31" i="4"/>
  <c r="G30" i="4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E22" i="4"/>
  <c r="E51" i="4" s="1"/>
  <c r="F23" i="4"/>
  <c r="F22" i="4" s="1"/>
  <c r="G21" i="4"/>
  <c r="G20" i="4"/>
  <c r="G19" i="4"/>
  <c r="G18" i="4"/>
  <c r="G17" i="4"/>
  <c r="G16" i="4"/>
  <c r="G15" i="4"/>
  <c r="F14" i="4"/>
  <c r="F9" i="4" s="1"/>
  <c r="G13" i="4"/>
  <c r="G12" i="4"/>
  <c r="G11" i="4"/>
  <c r="G10" i="4"/>
  <c r="E9" i="4"/>
  <c r="G8" i="4"/>
  <c r="G7" i="4"/>
  <c r="F6" i="4"/>
  <c r="E6" i="4"/>
  <c r="F5" i="4"/>
  <c r="E5" i="4"/>
  <c r="G5" i="4" s="1"/>
  <c r="E46" i="3"/>
  <c r="G46" i="3" s="1"/>
  <c r="E45" i="3"/>
  <c r="E44" i="3"/>
  <c r="E43" i="3"/>
  <c r="E42" i="3"/>
  <c r="E41" i="3"/>
  <c r="G41" i="3" s="1"/>
  <c r="E40" i="3"/>
  <c r="E39" i="3"/>
  <c r="G39" i="3" s="1"/>
  <c r="E38" i="3"/>
  <c r="E37" i="3"/>
  <c r="E36" i="3"/>
  <c r="E35" i="3"/>
  <c r="E34" i="3"/>
  <c r="E33" i="3"/>
  <c r="E31" i="3"/>
  <c r="G31" i="3" s="1"/>
  <c r="E30" i="3"/>
  <c r="E29" i="3"/>
  <c r="E28" i="3"/>
  <c r="E27" i="3"/>
  <c r="E26" i="3"/>
  <c r="E25" i="3"/>
  <c r="G25" i="3" s="1"/>
  <c r="F45" i="3"/>
  <c r="G45" i="3" s="1"/>
  <c r="F44" i="3"/>
  <c r="F43" i="3"/>
  <c r="F42" i="3"/>
  <c r="F41" i="3"/>
  <c r="F40" i="3"/>
  <c r="F38" i="3"/>
  <c r="F37" i="3"/>
  <c r="G37" i="3" s="1"/>
  <c r="F36" i="3"/>
  <c r="G36" i="3" s="1"/>
  <c r="F35" i="3"/>
  <c r="F34" i="3"/>
  <c r="F33" i="3"/>
  <c r="F29" i="3"/>
  <c r="F28" i="3"/>
  <c r="G28" i="3" s="1"/>
  <c r="F27" i="3"/>
  <c r="F26" i="3"/>
  <c r="G26" i="3" s="1"/>
  <c r="F25" i="3"/>
  <c r="F24" i="3"/>
  <c r="F23" i="3"/>
  <c r="E24" i="3"/>
  <c r="E21" i="3"/>
  <c r="E23" i="3"/>
  <c r="F14" i="3"/>
  <c r="G14" i="3" s="1"/>
  <c r="E15" i="3"/>
  <c r="G15" i="3" s="1"/>
  <c r="E14" i="3"/>
  <c r="D57" i="3"/>
  <c r="D55" i="3" s="1"/>
  <c r="G49" i="3"/>
  <c r="G48" i="3"/>
  <c r="G47" i="3"/>
  <c r="G44" i="3"/>
  <c r="G40" i="3"/>
  <c r="G32" i="3"/>
  <c r="G30" i="3"/>
  <c r="G21" i="3"/>
  <c r="G20" i="3"/>
  <c r="G19" i="3"/>
  <c r="G18" i="3"/>
  <c r="G17" i="3"/>
  <c r="G16" i="3"/>
  <c r="G13" i="3"/>
  <c r="G12" i="3"/>
  <c r="G11" i="3"/>
  <c r="G10" i="3"/>
  <c r="G7" i="3"/>
  <c r="F6" i="3"/>
  <c r="F5" i="3"/>
  <c r="D57" i="2"/>
  <c r="D55" i="2" s="1"/>
  <c r="G49" i="2"/>
  <c r="G48" i="2"/>
  <c r="G47" i="2"/>
  <c r="G46" i="2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G39" i="2"/>
  <c r="F38" i="2"/>
  <c r="F37" i="2"/>
  <c r="G37" i="2" s="1"/>
  <c r="F36" i="2"/>
  <c r="G36" i="2" s="1"/>
  <c r="F35" i="2"/>
  <c r="G35" i="2" s="1"/>
  <c r="F34" i="2"/>
  <c r="G34" i="2" s="1"/>
  <c r="F33" i="2"/>
  <c r="G33" i="2" s="1"/>
  <c r="G32" i="2"/>
  <c r="G31" i="2"/>
  <c r="G30" i="2"/>
  <c r="F29" i="2"/>
  <c r="G29" i="2" s="1"/>
  <c r="F28" i="2"/>
  <c r="G28" i="2" s="1"/>
  <c r="G27" i="2"/>
  <c r="F27" i="2"/>
  <c r="F26" i="2"/>
  <c r="G26" i="2" s="1"/>
  <c r="F25" i="2"/>
  <c r="E25" i="2"/>
  <c r="G25" i="2" s="1"/>
  <c r="F24" i="2"/>
  <c r="E24" i="2"/>
  <c r="E22" i="2" s="1"/>
  <c r="F23" i="2"/>
  <c r="G23" i="2" s="1"/>
  <c r="G21" i="2"/>
  <c r="G20" i="2"/>
  <c r="G19" i="2"/>
  <c r="G18" i="2"/>
  <c r="G17" i="2"/>
  <c r="G16" i="2"/>
  <c r="G15" i="2"/>
  <c r="F14" i="2"/>
  <c r="G14" i="2" s="1"/>
  <c r="G13" i="2"/>
  <c r="G12" i="2"/>
  <c r="G11" i="2"/>
  <c r="G10" i="2"/>
  <c r="E9" i="2"/>
  <c r="G8" i="2"/>
  <c r="G7" i="2"/>
  <c r="F6" i="2"/>
  <c r="E6" i="2"/>
  <c r="F5" i="2"/>
  <c r="E5" i="2"/>
  <c r="G5" i="2" s="1"/>
  <c r="G42" i="3" l="1"/>
  <c r="G34" i="3"/>
  <c r="E50" i="13"/>
  <c r="F22" i="12"/>
  <c r="E50" i="6"/>
  <c r="E5" i="3"/>
  <c r="G5" i="3" s="1"/>
  <c r="E6" i="3"/>
  <c r="G6" i="3" s="1"/>
  <c r="G22" i="12"/>
  <c r="E51" i="12"/>
  <c r="G22" i="10"/>
  <c r="E51" i="10"/>
  <c r="E51" i="9"/>
  <c r="E51" i="8"/>
  <c r="E51" i="7"/>
  <c r="E51" i="5"/>
  <c r="G22" i="5"/>
  <c r="G14" i="12"/>
  <c r="G24" i="12"/>
  <c r="G9" i="12"/>
  <c r="E50" i="12"/>
  <c r="G24" i="13"/>
  <c r="F9" i="13"/>
  <c r="G9" i="13" s="1"/>
  <c r="G14" i="11"/>
  <c r="F22" i="11"/>
  <c r="G22" i="11" s="1"/>
  <c r="G9" i="11"/>
  <c r="E50" i="11"/>
  <c r="G24" i="10"/>
  <c r="F9" i="10"/>
  <c r="G9" i="10"/>
  <c r="E50" i="10"/>
  <c r="G14" i="9"/>
  <c r="F22" i="9"/>
  <c r="G22" i="9" s="1"/>
  <c r="G9" i="9"/>
  <c r="E50" i="9"/>
  <c r="F9" i="8"/>
  <c r="F22" i="8"/>
  <c r="G22" i="8" s="1"/>
  <c r="G9" i="8"/>
  <c r="E50" i="8"/>
  <c r="F22" i="7"/>
  <c r="G22" i="7" s="1"/>
  <c r="G9" i="7"/>
  <c r="G14" i="7"/>
  <c r="E50" i="7"/>
  <c r="G22" i="6"/>
  <c r="E51" i="6"/>
  <c r="F9" i="6"/>
  <c r="G9" i="6" s="1"/>
  <c r="G24" i="6"/>
  <c r="G24" i="5"/>
  <c r="G9" i="5"/>
  <c r="E50" i="5"/>
  <c r="G14" i="5"/>
  <c r="G9" i="4"/>
  <c r="E50" i="4"/>
  <c r="G22" i="4"/>
  <c r="G23" i="4"/>
  <c r="G6" i="4"/>
  <c r="G14" i="4"/>
  <c r="G43" i="3"/>
  <c r="G35" i="3"/>
  <c r="G27" i="3"/>
  <c r="E9" i="3"/>
  <c r="G33" i="3"/>
  <c r="G29" i="3"/>
  <c r="E22" i="3"/>
  <c r="E51" i="3" s="1"/>
  <c r="F22" i="3"/>
  <c r="G24" i="3"/>
  <c r="F9" i="3"/>
  <c r="E50" i="2"/>
  <c r="G24" i="2"/>
  <c r="G6" i="2"/>
  <c r="G23" i="3"/>
  <c r="F9" i="2"/>
  <c r="F22" i="2"/>
  <c r="G22" i="2" s="1"/>
  <c r="E51" i="2"/>
  <c r="G9" i="2"/>
  <c r="E6" i="1"/>
  <c r="F23" i="1"/>
  <c r="G23" i="1" s="1"/>
  <c r="F24" i="1"/>
  <c r="F27" i="1"/>
  <c r="F26" i="1"/>
  <c r="G26" i="1" s="1"/>
  <c r="F25" i="1"/>
  <c r="F28" i="1"/>
  <c r="G28" i="1" s="1"/>
  <c r="F38" i="1"/>
  <c r="F45" i="1"/>
  <c r="G45" i="1" s="1"/>
  <c r="F42" i="1"/>
  <c r="G42" i="1" s="1"/>
  <c r="F40" i="1"/>
  <c r="G40" i="1" s="1"/>
  <c r="F37" i="1"/>
  <c r="G37" i="1" s="1"/>
  <c r="F36" i="1"/>
  <c r="G36" i="1" s="1"/>
  <c r="F35" i="1"/>
  <c r="G35" i="1" s="1"/>
  <c r="F34" i="1"/>
  <c r="G34" i="1" s="1"/>
  <c r="G30" i="1"/>
  <c r="G31" i="1"/>
  <c r="G32" i="1"/>
  <c r="G39" i="1"/>
  <c r="G46" i="1"/>
  <c r="G47" i="1"/>
  <c r="G48" i="1"/>
  <c r="G49" i="1"/>
  <c r="F33" i="1"/>
  <c r="G33" i="1" s="1"/>
  <c r="F41" i="1"/>
  <c r="G41" i="1" s="1"/>
  <c r="F44" i="1"/>
  <c r="F43" i="1"/>
  <c r="G43" i="1" s="1"/>
  <c r="F29" i="1"/>
  <c r="G29" i="1" s="1"/>
  <c r="F14" i="1"/>
  <c r="G9" i="3" l="1"/>
  <c r="G22" i="3"/>
  <c r="E50" i="3"/>
  <c r="G25" i="1"/>
  <c r="G24" i="1"/>
  <c r="G44" i="1"/>
  <c r="G27" i="1"/>
  <c r="D57" i="1" l="1"/>
  <c r="D55" i="1" s="1"/>
  <c r="E22" i="1"/>
  <c r="F22" i="1"/>
  <c r="G21" i="1"/>
  <c r="G20" i="1"/>
  <c r="G19" i="1"/>
  <c r="G18" i="1"/>
  <c r="G17" i="1"/>
  <c r="G16" i="1"/>
  <c r="G15" i="1"/>
  <c r="F9" i="1"/>
  <c r="G14" i="1"/>
  <c r="G13" i="1"/>
  <c r="G12" i="1"/>
  <c r="G11" i="1"/>
  <c r="G10" i="1"/>
  <c r="G8" i="1"/>
  <c r="G7" i="1"/>
  <c r="F6" i="1"/>
  <c r="F5" i="1"/>
  <c r="E5" i="1"/>
  <c r="G22" i="1" l="1"/>
  <c r="G5" i="1"/>
  <c r="G6" i="1"/>
  <c r="E9" i="1"/>
  <c r="G9" i="1" l="1"/>
  <c r="E51" i="1"/>
  <c r="E50" i="1"/>
</calcChain>
</file>

<file path=xl/sharedStrings.xml><?xml version="1.0" encoding="utf-8"?>
<sst xmlns="http://schemas.openxmlformats.org/spreadsheetml/2006/main" count="767" uniqueCount="66">
  <si>
    <t>Actual</t>
  </si>
  <si>
    <t>Budget</t>
  </si>
  <si>
    <t>Difference</t>
  </si>
  <si>
    <t>Income</t>
  </si>
  <si>
    <t>Savings Account</t>
  </si>
  <si>
    <t>Building Fund Contribution</t>
  </si>
  <si>
    <t>Bank Interest</t>
  </si>
  <si>
    <t>Checking Account</t>
  </si>
  <si>
    <t>Benevolence Giving In</t>
  </si>
  <si>
    <t>MWBC Cooperative Giving</t>
  </si>
  <si>
    <t>Lakeland Cooperative Giving</t>
  </si>
  <si>
    <t>HBNA Cooperative Giving</t>
  </si>
  <si>
    <t>Plate Offering</t>
  </si>
  <si>
    <t>E-Tithing</t>
  </si>
  <si>
    <t>Fundraise</t>
  </si>
  <si>
    <t>Annie Armstrong/Lottie Moon</t>
  </si>
  <si>
    <t>Church Rental</t>
  </si>
  <si>
    <t>Children's Ministry</t>
  </si>
  <si>
    <t>Youth Funds (Donated by church members)</t>
  </si>
  <si>
    <t>Expenses</t>
  </si>
  <si>
    <t>Church Mortgage</t>
  </si>
  <si>
    <t>Insurance, Tax &amp; Fees</t>
  </si>
  <si>
    <t>Building Property &amp; Ground Maint Upkeep</t>
  </si>
  <si>
    <t>Church Equipment Upgrade/Maint/Repair</t>
  </si>
  <si>
    <t>Utilities (Spect/Gas/Electric/Water/Sewage)</t>
  </si>
  <si>
    <t>Office Administration</t>
  </si>
  <si>
    <t>Cooperative Programs</t>
  </si>
  <si>
    <t>1113+1122+1123</t>
  </si>
  <si>
    <t>Annie Armstrong, Love&amp;Care &amp; Lottie Moon</t>
  </si>
  <si>
    <t>Guest Speaker Honor</t>
  </si>
  <si>
    <t>Church Ministries</t>
  </si>
  <si>
    <t>Sunday School Ministry/Nursery</t>
  </si>
  <si>
    <t>Deacons Ministry</t>
  </si>
  <si>
    <t>Womens Ministry</t>
  </si>
  <si>
    <t>Mens Ministry</t>
  </si>
  <si>
    <t>Youth Ministry</t>
  </si>
  <si>
    <t>Worship Service Ministry</t>
  </si>
  <si>
    <t>Church Events - CETR</t>
  </si>
  <si>
    <t>Fundraising</t>
  </si>
  <si>
    <t>Oversea Missions</t>
  </si>
  <si>
    <t>Pastoral Salary</t>
  </si>
  <si>
    <t>Pastoral Travel/Training</t>
  </si>
  <si>
    <t>Mission/Benevolence Giving Out</t>
  </si>
  <si>
    <t>Net Income/Balance (Both Checking &amp; Savings Account)</t>
  </si>
  <si>
    <t>Net Income/Balance (Checking Account only)</t>
  </si>
  <si>
    <t>Account Balance</t>
  </si>
  <si>
    <t>Landmark Credit Union- Checking Account Balance</t>
  </si>
  <si>
    <t>Landmark Credit Union- Savings Account Balance</t>
  </si>
  <si>
    <t>Church Emergency Fund (3 Months)</t>
  </si>
  <si>
    <t>Church Building Fund</t>
  </si>
  <si>
    <t>Please do not make copies or distribute copies of this report to non-members.</t>
  </si>
  <si>
    <t xml:space="preserve"> The amount on the right hand side is our projected income/expense. Amount on the left is actual.</t>
  </si>
  <si>
    <t>Others (interest)</t>
  </si>
  <si>
    <t>General Training</t>
  </si>
  <si>
    <t>Income &amp; Expense Jauary 2021</t>
  </si>
  <si>
    <t>Regular Checking</t>
  </si>
  <si>
    <t>Income &amp; Expense February 2021</t>
  </si>
  <si>
    <t>Income &amp; Expense 2021</t>
  </si>
  <si>
    <t>Evangelism/Outreach Ministry/Web ministry</t>
  </si>
  <si>
    <t>Evangelism/Outreach Ministry/Web Ministry</t>
  </si>
  <si>
    <t>Non-Profit Organization Income &amp; Expenses Report</t>
  </si>
  <si>
    <t>Checking Account Balance</t>
  </si>
  <si>
    <t>Savings Account Balance</t>
  </si>
  <si>
    <t>Emergency Fund (3 Months)</t>
  </si>
  <si>
    <t>Building Fund</t>
  </si>
  <si>
    <t xml:space="preserve">This information is only for members only.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</si>
</sst>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"/>
  </numFmts>
  <fonts count="24" x14ac:knownFonts="1">
    <font>
      <sz val="11"/>
      <color rgb="FF000000"/>
      <name val="Calibri"/>
    </font>
    <font>
      <b/>
      <sz val="22"/>
      <color rgb="FF000000"/>
      <name val="Calibri"/>
      <family val="2"/>
    </font>
    <font>
      <sz val="11"/>
      <name val="Calibri"/>
      <family val="2"/>
    </font>
    <font>
      <sz val="14"/>
      <color rgb="FF000000"/>
      <name val="Calibri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1"/>
      <color rgb="FF000000"/>
      <name val="Calibri"/>
      <family val="2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Calibri"/>
      <family val="2"/>
    </font>
    <font>
      <b/>
      <sz val="14"/>
      <name val="Times New Roman"/>
      <family val="1"/>
    </font>
    <font>
      <b/>
      <sz val="12"/>
      <color rgb="FF000000"/>
      <name val="Calibri"/>
      <family val="2"/>
    </font>
    <font>
      <b/>
      <sz val="12"/>
      <color rgb="FF008000"/>
      <name val="Calibri"/>
      <family val="2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b/>
      <sz val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98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2F2F2"/>
      </patternFill>
    </fill>
    <fill>
      <patternFill patternType="solid">
        <fgColor rgb="FFFFFF00"/>
        <bgColor rgb="FF95B3D7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1" fillId="0" borderId="0" applyFont="0" applyFill="0" applyBorder="0" applyAlignment="0" applyProtection="0"/>
    <xf numFmtId="0" fontId="22" fillId="7" borderId="9" applyNumberFormat="0" applyAlignment="0" applyProtection="0"/>
  </cellStyleXfs>
  <cellXfs count="92">
    <xf numFmtId="0" fontId="0" fillId="0" borderId="0" xfId="0"/>
    <xf numFmtId="0" fontId="3" fillId="0" borderId="0" xfId="0" applyFont="1"/>
    <xf numFmtId="0" fontId="16" fillId="0" borderId="0" xfId="0" applyFont="1" applyAlignment="1">
      <alignment vertical="top"/>
    </xf>
    <xf numFmtId="44" fontId="18" fillId="6" borderId="8" xfId="0" applyNumberFormat="1" applyFont="1" applyFill="1" applyBorder="1"/>
    <xf numFmtId="44" fontId="19" fillId="0" borderId="8" xfId="0" applyNumberFormat="1" applyFont="1" applyBorder="1"/>
    <xf numFmtId="0" fontId="0" fillId="8" borderId="1" xfId="0" applyFill="1" applyBorder="1"/>
    <xf numFmtId="0" fontId="8" fillId="8" borderId="1" xfId="0" applyFont="1" applyFill="1" applyBorder="1"/>
    <xf numFmtId="0" fontId="3" fillId="8" borderId="1" xfId="0" applyFont="1" applyFill="1" applyBorder="1"/>
    <xf numFmtId="0" fontId="14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4" fontId="18" fillId="6" borderId="8" xfId="0" applyNumberFormat="1" applyFont="1" applyFill="1" applyBorder="1" applyAlignment="1">
      <alignment horizontal="center" vertical="center"/>
    </xf>
    <xf numFmtId="44" fontId="19" fillId="0" borderId="8" xfId="0" applyNumberFormat="1" applyFont="1" applyBorder="1" applyAlignment="1">
      <alignment horizontal="center" vertical="center"/>
    </xf>
    <xf numFmtId="44" fontId="14" fillId="0" borderId="8" xfId="1" applyFont="1" applyBorder="1"/>
    <xf numFmtId="0" fontId="4" fillId="0" borderId="8" xfId="0" applyFont="1" applyBorder="1"/>
    <xf numFmtId="44" fontId="5" fillId="0" borderId="8" xfId="0" applyNumberFormat="1" applyFont="1" applyBorder="1"/>
    <xf numFmtId="43" fontId="5" fillId="0" borderId="8" xfId="0" applyNumberFormat="1" applyFont="1" applyBorder="1"/>
    <xf numFmtId="0" fontId="5" fillId="0" borderId="8" xfId="0" applyFont="1" applyBorder="1"/>
    <xf numFmtId="44" fontId="6" fillId="0" borderId="8" xfId="0" applyNumberFormat="1" applyFont="1" applyBorder="1"/>
    <xf numFmtId="0" fontId="7" fillId="0" borderId="8" xfId="0" applyFont="1" applyBorder="1"/>
    <xf numFmtId="0" fontId="9" fillId="0" borderId="8" xfId="0" applyFont="1" applyBorder="1"/>
    <xf numFmtId="44" fontId="10" fillId="0" borderId="8" xfId="0" applyNumberFormat="1" applyFont="1" applyBorder="1"/>
    <xf numFmtId="0" fontId="10" fillId="0" borderId="8" xfId="0" applyFont="1" applyBorder="1"/>
    <xf numFmtId="44" fontId="5" fillId="2" borderId="8" xfId="0" applyNumberFormat="1" applyFont="1" applyFill="1" applyBorder="1"/>
    <xf numFmtId="0" fontId="9" fillId="0" borderId="8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44" fontId="9" fillId="0" borderId="8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44" fontId="9" fillId="4" borderId="8" xfId="0" applyNumberFormat="1" applyFont="1" applyFill="1" applyBorder="1" applyAlignment="1">
      <alignment horizontal="left"/>
    </xf>
    <xf numFmtId="44" fontId="9" fillId="0" borderId="8" xfId="0" applyNumberFormat="1" applyFont="1" applyBorder="1" applyAlignment="1">
      <alignment horizontal="left" vertical="center"/>
    </xf>
    <xf numFmtId="44" fontId="9" fillId="5" borderId="8" xfId="0" applyNumberFormat="1" applyFont="1" applyFill="1" applyBorder="1" applyAlignment="1">
      <alignment horizontal="left"/>
    </xf>
    <xf numFmtId="0" fontId="13" fillId="0" borderId="8" xfId="0" applyFont="1" applyBorder="1"/>
    <xf numFmtId="43" fontId="10" fillId="0" borderId="8" xfId="0" applyNumberFormat="1" applyFont="1" applyBorder="1"/>
    <xf numFmtId="44" fontId="15" fillId="6" borderId="8" xfId="0" applyNumberFormat="1" applyFont="1" applyFill="1" applyBorder="1"/>
    <xf numFmtId="0" fontId="14" fillId="0" borderId="8" xfId="0" applyFont="1" applyBorder="1"/>
    <xf numFmtId="44" fontId="14" fillId="0" borderId="8" xfId="0" applyNumberFormat="1" applyFont="1" applyBorder="1"/>
    <xf numFmtId="0" fontId="14" fillId="3" borderId="8" xfId="0" applyFont="1" applyFill="1" applyBorder="1"/>
    <xf numFmtId="0" fontId="3" fillId="3" borderId="8" xfId="0" applyFont="1" applyFill="1" applyBorder="1"/>
    <xf numFmtId="0" fontId="3" fillId="0" borderId="8" xfId="0" applyFont="1" applyBorder="1"/>
    <xf numFmtId="0" fontId="0" fillId="0" borderId="8" xfId="0" applyBorder="1"/>
    <xf numFmtId="44" fontId="9" fillId="0" borderId="8" xfId="0" applyNumberFormat="1" applyFont="1" applyBorder="1" applyAlignment="1">
      <alignment horizontal="center" vertical="center"/>
    </xf>
    <xf numFmtId="44" fontId="9" fillId="4" borderId="8" xfId="0" applyNumberFormat="1" applyFont="1" applyFill="1" applyBorder="1" applyAlignment="1">
      <alignment horizontal="center" vertical="center"/>
    </xf>
    <xf numFmtId="44" fontId="9" fillId="5" borderId="8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 vertical="center"/>
    </xf>
    <xf numFmtId="43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4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4" fontId="10" fillId="0" borderId="8" xfId="0" applyNumberFormat="1" applyFont="1" applyBorder="1" applyAlignment="1">
      <alignment horizontal="center" vertical="center"/>
    </xf>
    <xf numFmtId="44" fontId="5" fillId="2" borderId="8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3" fontId="10" fillId="0" borderId="8" xfId="0" applyNumberFormat="1" applyFont="1" applyBorder="1" applyAlignment="1">
      <alignment horizontal="center" vertical="center"/>
    </xf>
    <xf numFmtId="44" fontId="15" fillId="6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4" fontId="14" fillId="0" borderId="8" xfId="0" applyNumberFormat="1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4" fontId="14" fillId="0" borderId="8" xfId="1" applyFont="1" applyBorder="1" applyAlignment="1">
      <alignment horizontal="center" vertical="center"/>
    </xf>
    <xf numFmtId="44" fontId="3" fillId="0" borderId="8" xfId="1" applyFont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164" fontId="20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/>
    <xf numFmtId="0" fontId="16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164" fontId="23" fillId="9" borderId="9" xfId="2" applyNumberFormat="1" applyFont="1" applyFill="1" applyAlignment="1">
      <alignment horizontal="center" vertical="center" wrapText="1"/>
    </xf>
    <xf numFmtId="0" fontId="23" fillId="9" borderId="9" xfId="2" applyFont="1" applyFill="1"/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</cellXfs>
  <cellStyles count="3">
    <cellStyle name="Calculation" xfId="2" builtinId="22"/>
    <cellStyle name="Currency" xfId="1" builtinId="4"/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showGridLines="0" zoomScale="85" zoomScaleNormal="85" workbookViewId="0">
      <selection activeCell="I33" sqref="I1:I1048576"/>
    </sheetView>
  </sheetViews>
  <sheetFormatPr defaultColWidth="14.42578125" defaultRowHeight="15" customHeight="1" x14ac:dyDescent="0.25"/>
  <cols>
    <col min="1" max="1" width="5.42578125" customWidth="1"/>
    <col min="2" max="2" width="23.5703125" customWidth="1"/>
    <col min="3" max="3" width="44.5703125" bestFit="1" customWidth="1"/>
    <col min="4" max="4" width="45.85546875" bestFit="1" customWidth="1"/>
    <col min="5" max="5" width="15.42578125" bestFit="1" customWidth="1"/>
    <col min="6" max="6" width="14.5703125" bestFit="1" customWidth="1"/>
    <col min="7" max="7" width="17.5703125" customWidth="1"/>
    <col min="8" max="8" width="4.5703125" customWidth="1"/>
  </cols>
  <sheetData>
    <row r="1" spans="1:8" x14ac:dyDescent="0.25">
      <c r="A1" s="5"/>
      <c r="B1" s="5"/>
      <c r="C1" s="5"/>
      <c r="D1" s="5"/>
      <c r="E1" s="5"/>
      <c r="F1" s="5"/>
      <c r="G1" s="5"/>
      <c r="H1" s="5"/>
    </row>
    <row r="2" spans="1:8" ht="65.2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8" ht="31.5" customHeight="1" x14ac:dyDescent="0.3">
      <c r="A3" s="5"/>
      <c r="B3" s="73" t="s">
        <v>54</v>
      </c>
      <c r="C3" s="74"/>
      <c r="D3" s="74"/>
      <c r="E3" s="74"/>
      <c r="F3" s="74"/>
      <c r="G3" s="75"/>
      <c r="H3" s="7"/>
    </row>
    <row r="4" spans="1:8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</row>
    <row r="5" spans="1:8" ht="18.75" x14ac:dyDescent="0.3">
      <c r="A5" s="5"/>
      <c r="B5" s="18" t="s">
        <v>3</v>
      </c>
      <c r="C5" s="15"/>
      <c r="D5" s="15"/>
      <c r="E5" s="19">
        <f t="shared" ref="E5:F5" si="0">SUM(E7:E8)</f>
        <v>6.55</v>
      </c>
      <c r="F5" s="19">
        <f t="shared" si="0"/>
        <v>0</v>
      </c>
      <c r="G5" s="19">
        <f t="shared" ref="G5:G21" si="1">E5-F5</f>
        <v>6.55</v>
      </c>
      <c r="H5" s="7"/>
    </row>
    <row r="6" spans="1:8" ht="18.75" x14ac:dyDescent="0.3">
      <c r="A6" s="5"/>
      <c r="B6" s="20" t="s">
        <v>4</v>
      </c>
      <c r="C6" s="15"/>
      <c r="D6" s="15"/>
      <c r="E6" s="19">
        <f>E8</f>
        <v>6.55</v>
      </c>
      <c r="F6" s="19">
        <f t="shared" ref="F6" si="2">SUM(F7:F8)</f>
        <v>0</v>
      </c>
      <c r="G6" s="19">
        <f t="shared" si="1"/>
        <v>6.55</v>
      </c>
      <c r="H6" s="7"/>
    </row>
    <row r="7" spans="1:8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1"/>
        <v>0</v>
      </c>
      <c r="H7" s="7"/>
    </row>
    <row r="8" spans="1:8" ht="18.75" x14ac:dyDescent="0.3">
      <c r="A8" s="6"/>
      <c r="B8" s="21"/>
      <c r="C8" s="21" t="s">
        <v>6</v>
      </c>
      <c r="D8" s="21"/>
      <c r="E8" s="22">
        <v>6.55</v>
      </c>
      <c r="F8" s="22">
        <v>0</v>
      </c>
      <c r="G8" s="19">
        <f t="shared" si="1"/>
        <v>6.55</v>
      </c>
      <c r="H8" s="7"/>
    </row>
    <row r="9" spans="1:8" ht="18.75" x14ac:dyDescent="0.3">
      <c r="A9" s="6"/>
      <c r="B9" s="20" t="s">
        <v>7</v>
      </c>
      <c r="C9" s="21"/>
      <c r="D9" s="21"/>
      <c r="E9" s="19">
        <f t="shared" ref="E9:F9" si="3">SUM(E10:E21)</f>
        <v>3706.4600000000005</v>
      </c>
      <c r="F9" s="19">
        <f t="shared" si="3"/>
        <v>7705.6533333333327</v>
      </c>
      <c r="G9" s="19">
        <f t="shared" si="1"/>
        <v>-3999.1933333333322</v>
      </c>
      <c r="H9" s="7"/>
    </row>
    <row r="10" spans="1:8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1"/>
        <v>0</v>
      </c>
      <c r="H10" s="7"/>
    </row>
    <row r="11" spans="1:8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1"/>
        <v>0</v>
      </c>
      <c r="H11" s="7"/>
    </row>
    <row r="12" spans="1:8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1"/>
        <v>0</v>
      </c>
      <c r="H12" s="7"/>
    </row>
    <row r="13" spans="1:8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1"/>
        <v>0</v>
      </c>
      <c r="H13" s="7"/>
    </row>
    <row r="14" spans="1:8" ht="18.75" x14ac:dyDescent="0.3">
      <c r="A14" s="6"/>
      <c r="B14" s="21"/>
      <c r="C14" s="21" t="s">
        <v>12</v>
      </c>
      <c r="D14" s="21"/>
      <c r="E14" s="22">
        <v>1686</v>
      </c>
      <c r="F14" s="22">
        <f>92467.84/12</f>
        <v>7705.6533333333327</v>
      </c>
      <c r="G14" s="19">
        <f t="shared" si="1"/>
        <v>-6019.6533333333327</v>
      </c>
      <c r="H14" s="7"/>
    </row>
    <row r="15" spans="1:8" ht="18.75" x14ac:dyDescent="0.3">
      <c r="A15" s="6"/>
      <c r="B15" s="21"/>
      <c r="C15" s="21" t="s">
        <v>13</v>
      </c>
      <c r="D15" s="21"/>
      <c r="E15" s="22">
        <v>2018.14</v>
      </c>
      <c r="F15" s="22">
        <v>0</v>
      </c>
      <c r="G15" s="19">
        <f t="shared" si="1"/>
        <v>2018.14</v>
      </c>
      <c r="H15" s="7"/>
    </row>
    <row r="16" spans="1:8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1"/>
        <v>0</v>
      </c>
      <c r="H16" s="7"/>
    </row>
    <row r="17" spans="1:8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1"/>
        <v>0</v>
      </c>
      <c r="H17" s="7"/>
    </row>
    <row r="18" spans="1:8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1"/>
        <v>0</v>
      </c>
      <c r="H18" s="7"/>
    </row>
    <row r="19" spans="1:8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1"/>
        <v>0</v>
      </c>
      <c r="H19" s="7"/>
    </row>
    <row r="20" spans="1:8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1"/>
        <v>0</v>
      </c>
      <c r="H20" s="7"/>
    </row>
    <row r="21" spans="1:8" ht="15.75" customHeight="1" x14ac:dyDescent="0.3">
      <c r="A21" s="5"/>
      <c r="B21" s="23"/>
      <c r="C21" s="21" t="s">
        <v>52</v>
      </c>
      <c r="D21" s="23"/>
      <c r="E21" s="22">
        <v>2.3199999999999998</v>
      </c>
      <c r="F21" s="22">
        <v>0</v>
      </c>
      <c r="G21" s="19">
        <f t="shared" si="1"/>
        <v>2.3199999999999998</v>
      </c>
      <c r="H21" s="7"/>
    </row>
    <row r="22" spans="1:8" ht="15.75" customHeight="1" x14ac:dyDescent="0.3">
      <c r="A22" s="5"/>
      <c r="B22" s="18" t="s">
        <v>19</v>
      </c>
      <c r="C22" s="15"/>
      <c r="D22" s="15"/>
      <c r="E22" s="24">
        <f>SUM(E23:E49)</f>
        <v>7230.18</v>
      </c>
      <c r="F22" s="24">
        <f>SUM(F23:F49)</f>
        <v>7913.9866666666685</v>
      </c>
      <c r="G22" s="19">
        <f>F22-E22</f>
        <v>683.80666666666821</v>
      </c>
      <c r="H22" s="7"/>
    </row>
    <row r="23" spans="1:8" ht="15.75" customHeight="1" x14ac:dyDescent="0.25">
      <c r="A23" s="5"/>
      <c r="B23" s="25"/>
      <c r="C23" s="25">
        <v>3000</v>
      </c>
      <c r="D23" s="26" t="s">
        <v>20</v>
      </c>
      <c r="E23" s="27">
        <v>787.32</v>
      </c>
      <c r="F23" s="27">
        <f>9447.84/12</f>
        <v>787.32</v>
      </c>
      <c r="G23" s="19">
        <f>F23-E23</f>
        <v>0</v>
      </c>
      <c r="H23" s="5"/>
    </row>
    <row r="24" spans="1:8" ht="15.75" customHeight="1" x14ac:dyDescent="0.25">
      <c r="A24" s="5"/>
      <c r="B24" s="28"/>
      <c r="C24" s="25">
        <v>2350</v>
      </c>
      <c r="D24" s="26" t="s">
        <v>21</v>
      </c>
      <c r="E24" s="27">
        <v>415.32</v>
      </c>
      <c r="F24" s="27">
        <f>5020/12</f>
        <v>418.33333333333331</v>
      </c>
      <c r="G24" s="19">
        <f t="shared" ref="G24:G49" si="4">F24-E24</f>
        <v>3.0133333333333212</v>
      </c>
      <c r="H24" s="5"/>
    </row>
    <row r="25" spans="1:8" ht="15.75" customHeight="1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4"/>
        <v>1191.6666666666667</v>
      </c>
      <c r="H25" s="7"/>
    </row>
    <row r="26" spans="1:8" ht="15.75" customHeight="1" x14ac:dyDescent="0.3">
      <c r="A26" s="6"/>
      <c r="B26" s="29"/>
      <c r="C26" s="25">
        <v>2330</v>
      </c>
      <c r="D26" s="26" t="s">
        <v>23</v>
      </c>
      <c r="E26" s="27">
        <v>290.7</v>
      </c>
      <c r="F26" s="27">
        <f>3600/12</f>
        <v>300</v>
      </c>
      <c r="G26" s="19">
        <f t="shared" si="4"/>
        <v>9.3000000000000114</v>
      </c>
      <c r="H26" s="7"/>
    </row>
    <row r="27" spans="1:8" ht="15.75" customHeight="1" x14ac:dyDescent="0.3">
      <c r="A27" s="6"/>
      <c r="B27" s="29"/>
      <c r="C27" s="25">
        <v>2340</v>
      </c>
      <c r="D27" s="26" t="s">
        <v>24</v>
      </c>
      <c r="E27" s="27">
        <v>1229.0899999999999</v>
      </c>
      <c r="F27" s="27">
        <f>13100/12</f>
        <v>1091.6666666666667</v>
      </c>
      <c r="G27" s="19">
        <f t="shared" si="4"/>
        <v>-137.42333333333318</v>
      </c>
      <c r="H27" s="7"/>
    </row>
    <row r="28" spans="1:8" ht="15.75" customHeight="1" x14ac:dyDescent="0.3">
      <c r="A28" s="6"/>
      <c r="B28" s="29"/>
      <c r="C28" s="25">
        <v>2310</v>
      </c>
      <c r="D28" s="26" t="s">
        <v>25</v>
      </c>
      <c r="E28" s="27">
        <v>7.75</v>
      </c>
      <c r="F28" s="27">
        <f>1000/12</f>
        <v>83.333333333333329</v>
      </c>
      <c r="G28" s="19">
        <f t="shared" si="4"/>
        <v>75.583333333333329</v>
      </c>
      <c r="H28" s="7"/>
    </row>
    <row r="29" spans="1:8" ht="15.75" customHeight="1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4"/>
        <v>83.333333333333329</v>
      </c>
      <c r="H29" s="7"/>
    </row>
    <row r="30" spans="1:8" ht="15.75" customHeight="1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4"/>
        <v>0</v>
      </c>
      <c r="H30" s="7"/>
    </row>
    <row r="31" spans="1:8" ht="15.75" customHeight="1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4"/>
        <v>0</v>
      </c>
      <c r="H31" s="7"/>
    </row>
    <row r="32" spans="1:8" ht="15.75" customHeight="1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4"/>
        <v>0</v>
      </c>
      <c r="H32" s="7"/>
    </row>
    <row r="33" spans="1:8" ht="15.75" customHeight="1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4"/>
        <v>191.66666666666666</v>
      </c>
      <c r="H33" s="7"/>
    </row>
    <row r="34" spans="1:8" ht="15.75" customHeight="1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4"/>
        <v>83.333333333333329</v>
      </c>
      <c r="H34" s="7"/>
    </row>
    <row r="35" spans="1:8" ht="15.75" customHeight="1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4"/>
        <v>166.66666666666666</v>
      </c>
      <c r="H35" s="7"/>
    </row>
    <row r="36" spans="1:8" ht="15.75" customHeight="1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4"/>
        <v>41.666666666666664</v>
      </c>
      <c r="H36" s="5"/>
    </row>
    <row r="37" spans="1:8" ht="15.75" customHeight="1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4"/>
        <v>41.666666666666664</v>
      </c>
      <c r="H37" s="5"/>
    </row>
    <row r="38" spans="1:8" ht="15.75" customHeight="1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</row>
    <row r="39" spans="1:8" ht="18.75" customHeight="1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si="4"/>
        <v>208.33333333333334</v>
      </c>
      <c r="H39" s="7"/>
    </row>
    <row r="40" spans="1:8" ht="15.75" customHeight="1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4"/>
        <v>166.66666666666666</v>
      </c>
      <c r="H40" s="7"/>
    </row>
    <row r="41" spans="1:8" ht="15.75" customHeight="1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4"/>
        <v>100</v>
      </c>
      <c r="H41" s="7"/>
    </row>
    <row r="42" spans="1:8" ht="15.75" customHeight="1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4"/>
        <v>83.333333333333329</v>
      </c>
      <c r="H42" s="7"/>
    </row>
    <row r="43" spans="1:8" ht="15.75" customHeight="1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4"/>
        <v>41.666666666666664</v>
      </c>
      <c r="H43" s="8"/>
    </row>
    <row r="44" spans="1:8" ht="15.75" customHeight="1" x14ac:dyDescent="0.3">
      <c r="A44" s="7"/>
      <c r="B44" s="34"/>
      <c r="C44" s="25">
        <v>4000</v>
      </c>
      <c r="D44" s="26" t="s">
        <v>40</v>
      </c>
      <c r="E44" s="22">
        <v>4000</v>
      </c>
      <c r="F44" s="33">
        <f>27000/12</f>
        <v>2250</v>
      </c>
      <c r="G44" s="19">
        <f t="shared" si="4"/>
        <v>-1750</v>
      </c>
      <c r="H44" s="8"/>
    </row>
    <row r="45" spans="1:8" ht="15.75" customHeight="1" x14ac:dyDescent="0.3">
      <c r="A45" s="6"/>
      <c r="B45" s="29"/>
      <c r="C45" s="25">
        <v>2190</v>
      </c>
      <c r="D45" s="26" t="s">
        <v>41</v>
      </c>
      <c r="E45" s="27">
        <v>500</v>
      </c>
      <c r="F45" s="33">
        <f>5000/12</f>
        <v>416.66666666666669</v>
      </c>
      <c r="G45" s="19">
        <f t="shared" si="4"/>
        <v>-83.333333333333314</v>
      </c>
      <c r="H45" s="7"/>
    </row>
    <row r="46" spans="1:8" ht="15.75" customHeight="1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4"/>
        <v>0</v>
      </c>
      <c r="H46" s="7"/>
    </row>
    <row r="47" spans="1:8" ht="15.75" customHeight="1" x14ac:dyDescent="0.3">
      <c r="A47" s="6"/>
      <c r="B47" s="29"/>
      <c r="C47" s="25"/>
      <c r="D47" s="26"/>
      <c r="E47" s="27"/>
      <c r="F47" s="27"/>
      <c r="G47" s="19">
        <f t="shared" si="4"/>
        <v>0</v>
      </c>
      <c r="H47" s="7"/>
    </row>
    <row r="48" spans="1:8" ht="15.75" customHeight="1" x14ac:dyDescent="0.3">
      <c r="A48" s="6"/>
      <c r="B48" s="29"/>
      <c r="C48" s="25"/>
      <c r="D48" s="26"/>
      <c r="E48" s="27"/>
      <c r="F48" s="27"/>
      <c r="G48" s="19">
        <f t="shared" si="4"/>
        <v>0</v>
      </c>
      <c r="H48" s="7"/>
    </row>
    <row r="49" spans="1:8" ht="15.75" customHeight="1" x14ac:dyDescent="0.3">
      <c r="A49" s="5"/>
      <c r="B49" s="15"/>
      <c r="C49" s="23"/>
      <c r="D49" s="26"/>
      <c r="E49" s="22"/>
      <c r="F49" s="35"/>
      <c r="G49" s="19">
        <f t="shared" si="4"/>
        <v>0</v>
      </c>
      <c r="H49" s="7"/>
    </row>
    <row r="50" spans="1:8" ht="75" customHeight="1" x14ac:dyDescent="0.3">
      <c r="A50" s="5"/>
      <c r="B50" s="77" t="s">
        <v>43</v>
      </c>
      <c r="C50" s="77"/>
      <c r="D50" s="15"/>
      <c r="E50" s="3">
        <f>SUM(E6+E9-E22)</f>
        <v>-3517.1699999999996</v>
      </c>
      <c r="F50" s="36"/>
      <c r="G50" s="19"/>
      <c r="H50" s="7"/>
    </row>
    <row r="51" spans="1:8" ht="75" customHeight="1" x14ac:dyDescent="0.3">
      <c r="A51" s="5"/>
      <c r="B51" s="78" t="s">
        <v>44</v>
      </c>
      <c r="C51" s="78"/>
      <c r="D51" s="37"/>
      <c r="E51" s="4">
        <f>SUM(E9-E22)</f>
        <v>-3523.72</v>
      </c>
      <c r="F51" s="38"/>
      <c r="G51" s="19"/>
      <c r="H51" s="7"/>
    </row>
    <row r="52" spans="1:8" ht="30.75" customHeight="1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x14ac:dyDescent="0.3">
      <c r="A53" s="5"/>
      <c r="B53" s="78" t="s">
        <v>46</v>
      </c>
      <c r="C53" s="78"/>
      <c r="D53" s="14">
        <v>25519.26</v>
      </c>
      <c r="E53" s="41"/>
      <c r="F53" s="41"/>
      <c r="G53" s="42"/>
      <c r="H53" s="7"/>
    </row>
    <row r="54" spans="1:8" ht="18.75" x14ac:dyDescent="0.3">
      <c r="A54" s="5"/>
      <c r="B54" s="78" t="s">
        <v>47</v>
      </c>
      <c r="C54" s="78"/>
      <c r="D54" s="14">
        <v>77097.77</v>
      </c>
      <c r="E54" s="41"/>
      <c r="F54" s="41"/>
      <c r="G54" s="42"/>
      <c r="H54" s="7"/>
    </row>
    <row r="55" spans="1:8" ht="15.75" customHeight="1" x14ac:dyDescent="0.3">
      <c r="A55" s="5"/>
      <c r="B55" s="79" t="s">
        <v>55</v>
      </c>
      <c r="C55" s="79"/>
      <c r="D55" s="14">
        <f>D54-D56-D57</f>
        <v>19605.650000000001</v>
      </c>
      <c r="E55" s="41"/>
      <c r="F55" s="41"/>
      <c r="G55" s="42"/>
      <c r="H55" s="7"/>
    </row>
    <row r="56" spans="1:8" ht="18.75" x14ac:dyDescent="0.3">
      <c r="A56" s="5"/>
      <c r="B56" s="78" t="s">
        <v>48</v>
      </c>
      <c r="C56" s="78"/>
      <c r="D56" s="14">
        <v>24000</v>
      </c>
      <c r="E56" s="41"/>
      <c r="F56" s="41"/>
      <c r="G56" s="42"/>
      <c r="H56" s="7"/>
    </row>
    <row r="57" spans="1:8" ht="15.75" customHeight="1" x14ac:dyDescent="0.3">
      <c r="A57" s="5"/>
      <c r="B57" s="79" t="s">
        <v>49</v>
      </c>
      <c r="C57" s="79"/>
      <c r="D57" s="14">
        <f>33492.12</f>
        <v>33492.120000000003</v>
      </c>
      <c r="E57" s="41"/>
      <c r="F57" s="41"/>
      <c r="G57" s="42"/>
      <c r="H57" s="7"/>
    </row>
    <row r="58" spans="1:8" ht="15.75" customHeight="1" x14ac:dyDescent="0.3">
      <c r="A58" s="5"/>
      <c r="B58" s="5"/>
      <c r="C58" s="5"/>
      <c r="D58" s="5"/>
      <c r="E58" s="5"/>
      <c r="F58" s="5"/>
      <c r="G58" s="5"/>
      <c r="H58" s="7"/>
    </row>
    <row r="59" spans="1:8" ht="15.75" customHeight="1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" customHeight="1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" customHeight="1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  <row r="62" spans="1:8" ht="15.75" customHeight="1" x14ac:dyDescent="0.25">
      <c r="A62" s="68"/>
      <c r="B62" s="69"/>
      <c r="C62" s="69"/>
      <c r="D62" s="69"/>
      <c r="E62" s="69"/>
      <c r="F62" s="69"/>
      <c r="G62" s="69"/>
      <c r="H62" s="69"/>
    </row>
    <row r="63" spans="1:8" ht="15.75" customHeight="1" x14ac:dyDescent="0.25">
      <c r="A63" s="2"/>
      <c r="B63" s="2"/>
      <c r="C63" s="2"/>
      <c r="D63" s="2"/>
      <c r="E63" s="2"/>
      <c r="F63" s="2"/>
      <c r="G63" s="2"/>
      <c r="H63" s="2"/>
    </row>
    <row r="64" spans="1:8" ht="15.75" customHeight="1" x14ac:dyDescent="0.25">
      <c r="A64" s="2"/>
      <c r="B64" s="2"/>
      <c r="C64" s="2"/>
      <c r="D64" s="2"/>
      <c r="E64" s="2"/>
      <c r="F64" s="2"/>
      <c r="G64" s="2"/>
      <c r="H64" s="2"/>
    </row>
    <row r="65" spans="1:8" ht="15.75" customHeight="1" x14ac:dyDescent="0.25">
      <c r="A65" s="2"/>
      <c r="B65" s="2"/>
      <c r="C65" s="2"/>
      <c r="D65" s="2"/>
      <c r="E65" s="2"/>
      <c r="F65" s="2"/>
      <c r="G65" s="2"/>
      <c r="H65" s="2"/>
    </row>
    <row r="66" spans="1:8" ht="15.75" customHeight="1" x14ac:dyDescent="0.25">
      <c r="A66" s="2"/>
      <c r="B66" s="2"/>
      <c r="C66" s="2"/>
      <c r="D66" s="2"/>
      <c r="E66" s="2"/>
      <c r="F66" s="2"/>
      <c r="G66" s="2"/>
      <c r="H66" s="2"/>
    </row>
    <row r="67" spans="1:8" ht="15.75" customHeight="1" x14ac:dyDescent="0.25">
      <c r="A67" s="2"/>
      <c r="B67" s="2"/>
      <c r="C67" s="2"/>
      <c r="D67" s="2"/>
      <c r="E67" s="2"/>
      <c r="F67" s="2"/>
      <c r="G67" s="2"/>
      <c r="H67" s="2"/>
    </row>
    <row r="68" spans="1:8" ht="15.75" customHeight="1" x14ac:dyDescent="0.25"/>
    <row r="70" spans="1:8" ht="15.75" customHeight="1" x14ac:dyDescent="0.25"/>
    <row r="71" spans="1:8" ht="15.75" customHeight="1" x14ac:dyDescent="0.25"/>
    <row r="72" spans="1:8" ht="15.75" customHeight="1" x14ac:dyDescent="0.25"/>
    <row r="73" spans="1:8" ht="15.75" customHeight="1" x14ac:dyDescent="0.25"/>
    <row r="74" spans="1:8" ht="15.75" customHeight="1" x14ac:dyDescent="0.25"/>
    <row r="75" spans="1:8" ht="15.75" customHeight="1" x14ac:dyDescent="0.25"/>
    <row r="76" spans="1:8" ht="15.75" customHeight="1" x14ac:dyDescent="0.25"/>
    <row r="77" spans="1:8" ht="15.75" customHeight="1" x14ac:dyDescent="0.25"/>
    <row r="78" spans="1:8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mergeCells count="13">
    <mergeCell ref="A62:H62"/>
    <mergeCell ref="B2:G2"/>
    <mergeCell ref="B3:G3"/>
    <mergeCell ref="A59:H59"/>
    <mergeCell ref="A60:H60"/>
    <mergeCell ref="A61:H61"/>
    <mergeCell ref="B50:C50"/>
    <mergeCell ref="B51:C51"/>
    <mergeCell ref="B53:C53"/>
    <mergeCell ref="B54:C54"/>
    <mergeCell ref="B55:C55"/>
    <mergeCell ref="B56:C56"/>
    <mergeCell ref="B57:C57"/>
  </mergeCells>
  <conditionalFormatting sqref="G9">
    <cfRule type="cellIs" dxfId="51" priority="1" operator="lessThan">
      <formula>0</formula>
    </cfRule>
    <cfRule type="cellIs" dxfId="50" priority="2" operator="greaterThan">
      <formula>0.01</formula>
    </cfRule>
  </conditionalFormatting>
  <conditionalFormatting sqref="G22">
    <cfRule type="cellIs" dxfId="49" priority="3" operator="lessThan">
      <formula>0</formula>
    </cfRule>
    <cfRule type="cellIs" dxfId="48" priority="4" operator="greaterThan">
      <formula>0.01</formula>
    </cfRule>
  </conditionalFormatting>
  <pageMargins left="0.7" right="0.7" top="0.75" bottom="0.75" header="0.3" footer="0.3"/>
  <pageSetup scale="52" orientation="portrait" r:id="rId1"/>
  <ignoredErrors>
    <ignoredError sqref="F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0"/>
  <sheetViews>
    <sheetView showGridLines="0" topLeftCell="A37" workbookViewId="0">
      <selection activeCell="I37" sqref="I1:I1048576"/>
    </sheetView>
  </sheetViews>
  <sheetFormatPr defaultColWidth="14.42578125" defaultRowHeight="15" customHeight="1" x14ac:dyDescent="0.25"/>
  <cols>
    <col min="1" max="1" width="3.85546875" customWidth="1"/>
    <col min="2" max="2" width="25.140625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  <col min="8" max="8" width="4.42578125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1.7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5.91</v>
      </c>
      <c r="F5" s="19">
        <f>SUM(F7:F8)</f>
        <v>0</v>
      </c>
      <c r="G5" s="19">
        <f t="shared" ref="G5:G21" si="0">E5-F5</f>
        <v>5.91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5.91</v>
      </c>
      <c r="F6" s="19">
        <f>SUM(F7:F8)</f>
        <v>0</v>
      </c>
      <c r="G6" s="19">
        <f t="shared" si="0"/>
        <v>5.91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>
        <v>5.91</v>
      </c>
      <c r="F8" s="22">
        <v>0</v>
      </c>
      <c r="G8" s="19">
        <f t="shared" si="0"/>
        <v>5.91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4052.62</v>
      </c>
      <c r="F9" s="19">
        <f>SUM(F10:F21)</f>
        <v>7705.6533333333327</v>
      </c>
      <c r="G9" s="19">
        <f t="shared" si="0"/>
        <v>-3653.0333333333328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>
        <v>0</v>
      </c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>
        <v>0</v>
      </c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>
        <v>0</v>
      </c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>
        <v>0</v>
      </c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>
        <v>2180</v>
      </c>
      <c r="F14" s="22">
        <f>92467.84/12</f>
        <v>7705.6533333333327</v>
      </c>
      <c r="G14" s="19">
        <f t="shared" si="0"/>
        <v>-5525.6533333333327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>
        <v>1870.77</v>
      </c>
      <c r="F15" s="22">
        <v>0</v>
      </c>
      <c r="G15" s="19">
        <f t="shared" si="0"/>
        <v>1870.77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>
        <v>0</v>
      </c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>
        <v>1.85</v>
      </c>
      <c r="F21" s="22">
        <v>0</v>
      </c>
      <c r="G21" s="19">
        <f t="shared" si="0"/>
        <v>1.85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5079.32</v>
      </c>
      <c r="F22" s="24">
        <f>SUM(F23:F49)</f>
        <v>7913.9866666666685</v>
      </c>
      <c r="G22" s="19">
        <f t="shared" ref="G22:G37" si="1">F22-E22</f>
        <v>2834.6666666666688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>
        <v>787.32</v>
      </c>
      <c r="F23" s="27">
        <f>9447.84/12</f>
        <v>787.32</v>
      </c>
      <c r="G23" s="19">
        <f t="shared" si="1"/>
        <v>0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>
        <f>56.8</f>
        <v>56.8</v>
      </c>
      <c r="F24" s="27">
        <f>5020/12</f>
        <v>418.33333333333331</v>
      </c>
      <c r="G24" s="19">
        <f t="shared" si="1"/>
        <v>361.5333333333333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>
        <f>290.7+1000</f>
        <v>1290.7</v>
      </c>
      <c r="F25" s="27">
        <f>14300/12</f>
        <v>1191.6666666666667</v>
      </c>
      <c r="G25" s="19">
        <f t="shared" si="1"/>
        <v>-99.033333333333303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>
        <v>694.5</v>
      </c>
      <c r="F27" s="27">
        <f>13100/12</f>
        <v>1091.6666666666667</v>
      </c>
      <c r="G27" s="19">
        <f t="shared" si="1"/>
        <v>397.16666666666674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>
        <v>2000</v>
      </c>
      <c r="F44" s="33">
        <f>27000/12</f>
        <v>2250</v>
      </c>
      <c r="G44" s="19">
        <f t="shared" si="2"/>
        <v>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>
        <v>250</v>
      </c>
      <c r="F45" s="33">
        <f>5000/12</f>
        <v>416.66666666666669</v>
      </c>
      <c r="G45" s="19">
        <f t="shared" si="2"/>
        <v>166.66666666666669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-1020.79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-1026.6999999999998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x14ac:dyDescent="0.3">
      <c r="A53" s="5"/>
      <c r="B53" s="84" t="s">
        <v>46</v>
      </c>
      <c r="C53" s="85"/>
      <c r="D53" s="14">
        <v>25519.26</v>
      </c>
      <c r="E53" s="41"/>
      <c r="F53" s="41"/>
      <c r="H53" s="7"/>
    </row>
    <row r="54" spans="1:8" ht="18.75" x14ac:dyDescent="0.3">
      <c r="A54" s="5"/>
      <c r="B54" s="84" t="s">
        <v>47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x14ac:dyDescent="0.3">
      <c r="A56" s="5"/>
      <c r="B56" s="84" t="s">
        <v>48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49</v>
      </c>
      <c r="C57" s="87"/>
      <c r="D57" s="14">
        <f>33492.12</f>
        <v>33492.120000000003</v>
      </c>
      <c r="E57" s="41"/>
      <c r="F57" s="41"/>
      <c r="H57" s="7"/>
    </row>
    <row r="58" spans="1:8" ht="15.75" customHeight="1" x14ac:dyDescent="0.3">
      <c r="A58" s="5"/>
      <c r="B58" s="5"/>
      <c r="C58" s="5"/>
      <c r="D58" s="5"/>
      <c r="E58" s="5"/>
      <c r="F58" s="5"/>
      <c r="G58" s="5"/>
      <c r="H58" s="7"/>
    </row>
    <row r="59" spans="1:8" ht="15.75" customHeight="1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customHeight="1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customHeight="1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2">
    <mergeCell ref="B2:G2"/>
    <mergeCell ref="B3:G3"/>
    <mergeCell ref="A59:H59"/>
    <mergeCell ref="A60:H60"/>
    <mergeCell ref="A61:H61"/>
    <mergeCell ref="B50:C50"/>
    <mergeCell ref="B51:C51"/>
    <mergeCell ref="B53:C53"/>
    <mergeCell ref="B54:C54"/>
    <mergeCell ref="B55:C55"/>
    <mergeCell ref="B56:C56"/>
    <mergeCell ref="B57:C57"/>
  </mergeCells>
  <conditionalFormatting sqref="G9">
    <cfRule type="cellIs" dxfId="47" priority="1" operator="lessThan">
      <formula>0</formula>
    </cfRule>
    <cfRule type="cellIs" dxfId="46" priority="2" operator="greaterThan">
      <formula>0.01</formula>
    </cfRule>
  </conditionalFormatting>
  <conditionalFormatting sqref="G22">
    <cfRule type="cellIs" dxfId="45" priority="3" operator="lessThan">
      <formula>0</formula>
    </cfRule>
    <cfRule type="cellIs" dxfId="44" priority="4" operator="greaterThan">
      <formula>0.01</formula>
    </cfRule>
  </conditionalFormatting>
  <pageMargins left="0.7" right="0.7" top="0.75" bottom="0.75" header="0" footer="0"/>
  <pageSetup scale="55" orientation="portrait" r:id="rId1"/>
  <ignoredErrors>
    <ignoredError sqref="F3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6661-2141-4190-8756-711E81DFCAF8}">
  <dimension ref="A1:I61"/>
  <sheetViews>
    <sheetView showGridLines="0" topLeftCell="A39" workbookViewId="0">
      <selection activeCell="I39" sqref="I1:I1048576"/>
    </sheetView>
  </sheetViews>
  <sheetFormatPr defaultRowHeight="15" x14ac:dyDescent="0.25"/>
  <cols>
    <col min="1" max="1" width="5" customWidth="1"/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  <col min="8" max="8" width="5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4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x14ac:dyDescent="0.3">
      <c r="A53" s="5"/>
      <c r="B53" s="84" t="s">
        <v>46</v>
      </c>
      <c r="C53" s="85"/>
      <c r="D53" s="14">
        <v>25519.26</v>
      </c>
      <c r="E53" s="41"/>
      <c r="F53" s="41"/>
      <c r="H53" s="7"/>
    </row>
    <row r="54" spans="1:8" ht="18.75" x14ac:dyDescent="0.3">
      <c r="A54" s="5"/>
      <c r="B54" s="84" t="s">
        <v>47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x14ac:dyDescent="0.3">
      <c r="A56" s="5"/>
      <c r="B56" s="84" t="s">
        <v>48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49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43" priority="1" operator="lessThan">
      <formula>0</formula>
    </cfRule>
    <cfRule type="cellIs" dxfId="42" priority="2" operator="greaterThan">
      <formula>0.01</formula>
    </cfRule>
  </conditionalFormatting>
  <conditionalFormatting sqref="G22">
    <cfRule type="cellIs" dxfId="41" priority="3" operator="lessThan">
      <formula>0</formula>
    </cfRule>
    <cfRule type="cellIs" dxfId="40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F440-54C2-4BFE-9642-D939002A80E3}">
  <dimension ref="A1:I61"/>
  <sheetViews>
    <sheetView showGridLines="0" tabSelected="1" workbookViewId="0">
      <selection activeCell="I44" sqref="I1:I1048576"/>
    </sheetView>
  </sheetViews>
  <sheetFormatPr defaultRowHeight="15" x14ac:dyDescent="0.25"/>
  <cols>
    <col min="1" max="1" width="4.5703125" customWidth="1"/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  <col min="8" max="8" width="4.42578125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49.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1.85</v>
      </c>
      <c r="F9" s="19">
        <f>SUM(F10:F21)</f>
        <v>7705.6533333333327</v>
      </c>
      <c r="G9" s="19">
        <f t="shared" si="0"/>
        <v>-7703.8033333333324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>
        <v>1.85</v>
      </c>
      <c r="F21" s="22">
        <v>0</v>
      </c>
      <c r="G21" s="19">
        <f t="shared" si="0"/>
        <v>1.85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1.85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1.85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39" priority="1" operator="lessThan">
      <formula>0</formula>
    </cfRule>
    <cfRule type="cellIs" dxfId="38" priority="2" operator="greaterThan">
      <formula>0.01</formula>
    </cfRule>
  </conditionalFormatting>
  <conditionalFormatting sqref="G22">
    <cfRule type="cellIs" dxfId="37" priority="3" operator="lessThan">
      <formula>0</formula>
    </cfRule>
    <cfRule type="cellIs" dxfId="36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DD09-6A22-4698-9D2A-2B3950166FB7}">
  <dimension ref="A1:I61"/>
  <sheetViews>
    <sheetView showGridLines="0" topLeftCell="A35" workbookViewId="0">
      <selection activeCell="I35" sqref="I1:I1048576"/>
    </sheetView>
  </sheetViews>
  <sheetFormatPr defaultRowHeight="15" x14ac:dyDescent="0.25"/>
  <cols>
    <col min="1" max="1" width="4.5703125" customWidth="1"/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  <col min="8" max="8" width="5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47.2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35" priority="1" operator="lessThan">
      <formula>0</formula>
    </cfRule>
    <cfRule type="cellIs" dxfId="34" priority="2" operator="greaterThan">
      <formula>0.01</formula>
    </cfRule>
  </conditionalFormatting>
  <conditionalFormatting sqref="G22">
    <cfRule type="cellIs" dxfId="33" priority="3" operator="lessThan">
      <formula>0</formula>
    </cfRule>
    <cfRule type="cellIs" dxfId="32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641E-F62C-4F15-B931-6E53C81C8267}">
  <dimension ref="A1:I61"/>
  <sheetViews>
    <sheetView showGridLines="0" topLeftCell="A35" workbookViewId="0">
      <selection activeCell="I35" sqref="I1:I1048576"/>
    </sheetView>
  </sheetViews>
  <sheetFormatPr defaultRowHeight="15" x14ac:dyDescent="0.25"/>
  <cols>
    <col min="1" max="1" width="5" customWidth="1"/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  <col min="8" max="8" width="4.7109375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1.7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>
        <v>0</v>
      </c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>
        <v>0</v>
      </c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>
        <v>0</v>
      </c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>
        <v>0</v>
      </c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31" priority="1" operator="lessThan">
      <formula>0</formula>
    </cfRule>
    <cfRule type="cellIs" dxfId="30" priority="2" operator="greaterThan">
      <formula>0.01</formula>
    </cfRule>
  </conditionalFormatting>
  <conditionalFormatting sqref="G22">
    <cfRule type="cellIs" dxfId="29" priority="3" operator="lessThan">
      <formula>0</formula>
    </cfRule>
    <cfRule type="cellIs" dxfId="28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E041-A95D-4E8A-BE49-A0BCA03B5EE4}">
  <dimension ref="A1:I61"/>
  <sheetViews>
    <sheetView showGridLines="0" topLeftCell="A34" workbookViewId="0">
      <selection activeCell="I34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4.7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27" priority="1" operator="lessThan">
      <formula>0</formula>
    </cfRule>
    <cfRule type="cellIs" dxfId="26" priority="2" operator="greaterThan">
      <formula>0.01</formula>
    </cfRule>
  </conditionalFormatting>
  <conditionalFormatting sqref="G22">
    <cfRule type="cellIs" dxfId="25" priority="3" operator="lessThan">
      <formula>0</formula>
    </cfRule>
    <cfRule type="cellIs" dxfId="24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9ABE-0497-4BF0-A9A0-77C6BEDA1808}">
  <dimension ref="A1:I61"/>
  <sheetViews>
    <sheetView showGridLines="0" topLeftCell="A37" workbookViewId="0">
      <selection activeCell="I37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1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23" priority="1" operator="lessThan">
      <formula>0</formula>
    </cfRule>
    <cfRule type="cellIs" dxfId="22" priority="2" operator="greaterThan">
      <formula>0.01</formula>
    </cfRule>
  </conditionalFormatting>
  <conditionalFormatting sqref="G22">
    <cfRule type="cellIs" dxfId="21" priority="3" operator="lessThan">
      <formula>0</formula>
    </cfRule>
    <cfRule type="cellIs" dxfId="20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706C-1497-449A-9D8E-6ED0B9D3ADF6}">
  <dimension ref="A1:I61"/>
  <sheetViews>
    <sheetView showGridLines="0" topLeftCell="A18" workbookViewId="0">
      <selection activeCell="I18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6.2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19" priority="1" operator="lessThan">
      <formula>0</formula>
    </cfRule>
    <cfRule type="cellIs" dxfId="18" priority="2" operator="greaterThan">
      <formula>0.01</formula>
    </cfRule>
  </conditionalFormatting>
  <conditionalFormatting sqref="G22">
    <cfRule type="cellIs" dxfId="17" priority="3" operator="lessThan">
      <formula>0</formula>
    </cfRule>
    <cfRule type="cellIs" dxfId="16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9778-CB14-4848-93EA-867F24BF4CD1}">
  <dimension ref="A1:I61"/>
  <sheetViews>
    <sheetView showGridLines="0" workbookViewId="0">
      <selection activeCell="I42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7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15" priority="1" operator="lessThan">
      <formula>0</formula>
    </cfRule>
    <cfRule type="cellIs" dxfId="14" priority="2" operator="greaterThan">
      <formula>0.01</formula>
    </cfRule>
  </conditionalFormatting>
  <conditionalFormatting sqref="G22">
    <cfRule type="cellIs" dxfId="13" priority="3" operator="lessThan">
      <formula>0</formula>
    </cfRule>
    <cfRule type="cellIs" dxfId="12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930E-6348-4E3A-93E0-568D559A060E}">
  <dimension ref="A1:I61"/>
  <sheetViews>
    <sheetView showGridLines="0" topLeftCell="A42" workbookViewId="0">
      <selection activeCell="I42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4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11" priority="1" operator="lessThan">
      <formula>0</formula>
    </cfRule>
    <cfRule type="cellIs" dxfId="10" priority="2" operator="greaterThan">
      <formula>0.01</formula>
    </cfRule>
  </conditionalFormatting>
  <conditionalFormatting sqref="G22">
    <cfRule type="cellIs" dxfId="9" priority="3" operator="lessThan">
      <formula>0</formula>
    </cfRule>
    <cfRule type="cellIs" dxfId="8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14E0-9155-4E0B-ACEF-738775787222}">
  <dimension ref="A1:I61"/>
  <sheetViews>
    <sheetView showGridLines="0" topLeftCell="A6" workbookViewId="0">
      <selection activeCell="I6" sqref="I1:I1048576"/>
    </sheetView>
  </sheetViews>
  <sheetFormatPr defaultRowHeight="15" x14ac:dyDescent="0.25"/>
  <cols>
    <col min="2" max="2" width="23.42578125" bestFit="1" customWidth="1"/>
    <col min="3" max="3" width="42.85546875" bestFit="1" customWidth="1"/>
    <col min="4" max="4" width="42.140625" bestFit="1" customWidth="1"/>
    <col min="5" max="5" width="15.42578125" bestFit="1" customWidth="1"/>
    <col min="6" max="6" width="14.5703125" bestFit="1" customWidth="1"/>
    <col min="7" max="7" width="15.2851562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</row>
    <row r="2" spans="1:9" ht="56.25" customHeight="1" x14ac:dyDescent="0.25">
      <c r="A2" s="5"/>
      <c r="B2" s="70" t="s">
        <v>60</v>
      </c>
      <c r="C2" s="71"/>
      <c r="D2" s="71"/>
      <c r="E2" s="71"/>
      <c r="F2" s="71"/>
      <c r="G2" s="72"/>
      <c r="H2" s="5"/>
    </row>
    <row r="3" spans="1:9" ht="23.25" x14ac:dyDescent="0.35">
      <c r="A3" s="5"/>
      <c r="B3" s="80" t="s">
        <v>56</v>
      </c>
      <c r="C3" s="81"/>
      <c r="D3" s="81"/>
      <c r="E3" s="81"/>
      <c r="F3" s="81"/>
      <c r="G3" s="81"/>
      <c r="H3" s="7"/>
      <c r="I3" s="1"/>
    </row>
    <row r="4" spans="1:9" ht="18.75" x14ac:dyDescent="0.3">
      <c r="A4" s="5"/>
      <c r="B4" s="15"/>
      <c r="C4" s="15"/>
      <c r="D4" s="15"/>
      <c r="E4" s="16" t="s">
        <v>0</v>
      </c>
      <c r="F4" s="17" t="s">
        <v>1</v>
      </c>
      <c r="G4" s="17" t="s">
        <v>2</v>
      </c>
      <c r="H4" s="7"/>
      <c r="I4" s="1"/>
    </row>
    <row r="5" spans="1:9" ht="18.75" x14ac:dyDescent="0.3">
      <c r="A5" s="5"/>
      <c r="B5" s="18" t="s">
        <v>3</v>
      </c>
      <c r="C5" s="15"/>
      <c r="D5" s="15"/>
      <c r="E5" s="19">
        <f>SUM(E7:E8)</f>
        <v>0</v>
      </c>
      <c r="F5" s="19">
        <f>SUM(F7:F8)</f>
        <v>0</v>
      </c>
      <c r="G5" s="19">
        <f t="shared" ref="G5:G21" si="0">E5-F5</f>
        <v>0</v>
      </c>
      <c r="H5" s="7"/>
      <c r="I5" s="1"/>
    </row>
    <row r="6" spans="1:9" ht="18.75" x14ac:dyDescent="0.3">
      <c r="A6" s="5"/>
      <c r="B6" s="20" t="s">
        <v>4</v>
      </c>
      <c r="C6" s="15"/>
      <c r="D6" s="15"/>
      <c r="E6" s="19">
        <f>E8</f>
        <v>0</v>
      </c>
      <c r="F6" s="19">
        <f>SUM(F7:F8)</f>
        <v>0</v>
      </c>
      <c r="G6" s="19">
        <f t="shared" si="0"/>
        <v>0</v>
      </c>
      <c r="H6" s="7"/>
      <c r="I6" s="1"/>
    </row>
    <row r="7" spans="1:9" ht="18.75" x14ac:dyDescent="0.3">
      <c r="A7" s="6"/>
      <c r="B7" s="21"/>
      <c r="C7" s="21" t="s">
        <v>5</v>
      </c>
      <c r="D7" s="21"/>
      <c r="E7" s="22">
        <v>0</v>
      </c>
      <c r="F7" s="22">
        <v>0</v>
      </c>
      <c r="G7" s="19">
        <f t="shared" si="0"/>
        <v>0</v>
      </c>
      <c r="H7" s="7"/>
      <c r="I7" s="1"/>
    </row>
    <row r="8" spans="1:9" ht="18.75" x14ac:dyDescent="0.3">
      <c r="A8" s="6"/>
      <c r="B8" s="21"/>
      <c r="C8" s="21" t="s">
        <v>6</v>
      </c>
      <c r="D8" s="21"/>
      <c r="E8" s="22"/>
      <c r="F8" s="22">
        <v>0</v>
      </c>
      <c r="G8" s="19">
        <f t="shared" si="0"/>
        <v>0</v>
      </c>
      <c r="H8" s="7"/>
      <c r="I8" s="1"/>
    </row>
    <row r="9" spans="1:9" ht="18.75" x14ac:dyDescent="0.3">
      <c r="A9" s="6"/>
      <c r="B9" s="20" t="s">
        <v>7</v>
      </c>
      <c r="C9" s="21"/>
      <c r="D9" s="21"/>
      <c r="E9" s="19">
        <f>SUM(E10:E21)</f>
        <v>0</v>
      </c>
      <c r="F9" s="19">
        <f>SUM(F10:F21)</f>
        <v>7705.6533333333327</v>
      </c>
      <c r="G9" s="19">
        <f t="shared" si="0"/>
        <v>-7705.6533333333327</v>
      </c>
      <c r="H9" s="7"/>
      <c r="I9" s="1"/>
    </row>
    <row r="10" spans="1:9" ht="18.75" x14ac:dyDescent="0.3">
      <c r="A10" s="6"/>
      <c r="B10" s="21"/>
      <c r="C10" s="21" t="s">
        <v>8</v>
      </c>
      <c r="D10" s="21"/>
      <c r="E10" s="22"/>
      <c r="F10" s="22">
        <v>0</v>
      </c>
      <c r="G10" s="19">
        <f t="shared" si="0"/>
        <v>0</v>
      </c>
      <c r="H10" s="7"/>
      <c r="I10" s="1"/>
    </row>
    <row r="11" spans="1:9" ht="18.75" x14ac:dyDescent="0.3">
      <c r="A11" s="6"/>
      <c r="B11" s="21"/>
      <c r="C11" s="21" t="s">
        <v>9</v>
      </c>
      <c r="D11" s="21"/>
      <c r="E11" s="22"/>
      <c r="F11" s="22">
        <v>0</v>
      </c>
      <c r="G11" s="19">
        <f t="shared" si="0"/>
        <v>0</v>
      </c>
      <c r="H11" s="7"/>
      <c r="I11" s="1"/>
    </row>
    <row r="12" spans="1:9" ht="18.75" x14ac:dyDescent="0.3">
      <c r="A12" s="6"/>
      <c r="B12" s="21"/>
      <c r="C12" s="21" t="s">
        <v>10</v>
      </c>
      <c r="D12" s="21"/>
      <c r="E12" s="22"/>
      <c r="F12" s="22">
        <v>0</v>
      </c>
      <c r="G12" s="19">
        <f t="shared" si="0"/>
        <v>0</v>
      </c>
      <c r="H12" s="7"/>
      <c r="I12" s="1"/>
    </row>
    <row r="13" spans="1:9" ht="18.75" x14ac:dyDescent="0.3">
      <c r="A13" s="6"/>
      <c r="B13" s="21"/>
      <c r="C13" s="21" t="s">
        <v>11</v>
      </c>
      <c r="D13" s="21"/>
      <c r="E13" s="22"/>
      <c r="F13" s="22">
        <v>0</v>
      </c>
      <c r="G13" s="19">
        <f t="shared" si="0"/>
        <v>0</v>
      </c>
      <c r="H13" s="7"/>
      <c r="I13" s="1"/>
    </row>
    <row r="14" spans="1:9" ht="18.75" x14ac:dyDescent="0.3">
      <c r="A14" s="6"/>
      <c r="B14" s="21"/>
      <c r="C14" s="21" t="s">
        <v>12</v>
      </c>
      <c r="D14" s="21"/>
      <c r="E14" s="22"/>
      <c r="F14" s="22">
        <f>92467.84/12</f>
        <v>7705.6533333333327</v>
      </c>
      <c r="G14" s="19">
        <f t="shared" si="0"/>
        <v>-7705.6533333333327</v>
      </c>
      <c r="H14" s="7"/>
      <c r="I14" s="1"/>
    </row>
    <row r="15" spans="1:9" ht="18.75" x14ac:dyDescent="0.3">
      <c r="A15" s="6"/>
      <c r="B15" s="21"/>
      <c r="C15" s="21" t="s">
        <v>13</v>
      </c>
      <c r="D15" s="21"/>
      <c r="E15" s="22"/>
      <c r="F15" s="22">
        <v>0</v>
      </c>
      <c r="G15" s="19">
        <f t="shared" si="0"/>
        <v>0</v>
      </c>
      <c r="H15" s="7"/>
      <c r="I15" s="1"/>
    </row>
    <row r="16" spans="1:9" ht="18.75" x14ac:dyDescent="0.3">
      <c r="A16" s="5"/>
      <c r="B16" s="23"/>
      <c r="C16" s="21" t="s">
        <v>14</v>
      </c>
      <c r="D16" s="23"/>
      <c r="E16" s="22"/>
      <c r="F16" s="22">
        <v>0</v>
      </c>
      <c r="G16" s="19">
        <f t="shared" si="0"/>
        <v>0</v>
      </c>
      <c r="H16" s="7"/>
      <c r="I16" s="1"/>
    </row>
    <row r="17" spans="1:9" ht="18.75" x14ac:dyDescent="0.3">
      <c r="A17" s="5"/>
      <c r="B17" s="23"/>
      <c r="C17" s="21" t="s">
        <v>15</v>
      </c>
      <c r="D17" s="23"/>
      <c r="E17" s="22"/>
      <c r="F17" s="22">
        <v>0</v>
      </c>
      <c r="G17" s="19">
        <f t="shared" si="0"/>
        <v>0</v>
      </c>
      <c r="H17" s="7"/>
      <c r="I17" s="1"/>
    </row>
    <row r="18" spans="1:9" ht="18.75" x14ac:dyDescent="0.3">
      <c r="A18" s="5"/>
      <c r="B18" s="23"/>
      <c r="C18" s="21" t="s">
        <v>16</v>
      </c>
      <c r="D18" s="23"/>
      <c r="E18" s="22"/>
      <c r="F18" s="22">
        <v>0</v>
      </c>
      <c r="G18" s="19">
        <f t="shared" si="0"/>
        <v>0</v>
      </c>
      <c r="H18" s="7"/>
      <c r="I18" s="1"/>
    </row>
    <row r="19" spans="1:9" ht="18.75" x14ac:dyDescent="0.3">
      <c r="A19" s="5"/>
      <c r="B19" s="23"/>
      <c r="C19" s="21" t="s">
        <v>17</v>
      </c>
      <c r="D19" s="23"/>
      <c r="E19" s="22"/>
      <c r="F19" s="22">
        <v>0</v>
      </c>
      <c r="G19" s="19">
        <f t="shared" si="0"/>
        <v>0</v>
      </c>
      <c r="H19" s="7"/>
      <c r="I19" s="1"/>
    </row>
    <row r="20" spans="1:9" ht="18.75" x14ac:dyDescent="0.3">
      <c r="A20" s="5"/>
      <c r="B20" s="23"/>
      <c r="C20" s="21" t="s">
        <v>18</v>
      </c>
      <c r="D20" s="23"/>
      <c r="E20" s="22"/>
      <c r="F20" s="22">
        <v>0</v>
      </c>
      <c r="G20" s="19">
        <f t="shared" si="0"/>
        <v>0</v>
      </c>
      <c r="H20" s="7"/>
      <c r="I20" s="1"/>
    </row>
    <row r="21" spans="1:9" ht="18.75" x14ac:dyDescent="0.3">
      <c r="A21" s="5"/>
      <c r="B21" s="23"/>
      <c r="C21" s="21" t="s">
        <v>52</v>
      </c>
      <c r="D21" s="23"/>
      <c r="E21" s="22"/>
      <c r="F21" s="22">
        <v>0</v>
      </c>
      <c r="G21" s="19">
        <f t="shared" si="0"/>
        <v>0</v>
      </c>
      <c r="H21" s="7"/>
      <c r="I21" s="1"/>
    </row>
    <row r="22" spans="1:9" ht="18.75" x14ac:dyDescent="0.3">
      <c r="A22" s="5"/>
      <c r="B22" s="18" t="s">
        <v>19</v>
      </c>
      <c r="C22" s="15"/>
      <c r="D22" s="15"/>
      <c r="E22" s="24">
        <f>SUM(E23:E49)</f>
        <v>0</v>
      </c>
      <c r="F22" s="24">
        <f>SUM(F23:F49)</f>
        <v>7913.9866666666685</v>
      </c>
      <c r="G22" s="19">
        <f t="shared" ref="G22:G37" si="1">F22-E22</f>
        <v>7913.9866666666685</v>
      </c>
      <c r="H22" s="7"/>
      <c r="I22" s="1"/>
    </row>
    <row r="23" spans="1:9" ht="18.75" x14ac:dyDescent="0.3">
      <c r="A23" s="5"/>
      <c r="B23" s="25"/>
      <c r="C23" s="25">
        <v>3000</v>
      </c>
      <c r="D23" s="26" t="s">
        <v>20</v>
      </c>
      <c r="E23" s="27"/>
      <c r="F23" s="27">
        <f>9447.84/12</f>
        <v>787.32</v>
      </c>
      <c r="G23" s="19">
        <f t="shared" si="1"/>
        <v>787.32</v>
      </c>
      <c r="H23" s="5"/>
      <c r="I23" s="1"/>
    </row>
    <row r="24" spans="1:9" ht="18.75" x14ac:dyDescent="0.3">
      <c r="A24" s="5"/>
      <c r="B24" s="28"/>
      <c r="C24" s="25">
        <v>2350</v>
      </c>
      <c r="D24" s="26" t="s">
        <v>21</v>
      </c>
      <c r="E24" s="27"/>
      <c r="F24" s="27">
        <f>5020/12</f>
        <v>418.33333333333331</v>
      </c>
      <c r="G24" s="19">
        <f t="shared" si="1"/>
        <v>418.33333333333331</v>
      </c>
      <c r="H24" s="5"/>
      <c r="I24" s="1"/>
    </row>
    <row r="25" spans="1:9" ht="18.75" x14ac:dyDescent="0.3">
      <c r="A25" s="6"/>
      <c r="B25" s="29"/>
      <c r="C25" s="25">
        <v>2320</v>
      </c>
      <c r="D25" s="26" t="s">
        <v>22</v>
      </c>
      <c r="E25" s="27"/>
      <c r="F25" s="27">
        <f>14300/12</f>
        <v>1191.6666666666667</v>
      </c>
      <c r="G25" s="19">
        <f t="shared" si="1"/>
        <v>1191.6666666666667</v>
      </c>
      <c r="H25" s="7"/>
      <c r="I25" s="1"/>
    </row>
    <row r="26" spans="1:9" ht="18.75" x14ac:dyDescent="0.3">
      <c r="A26" s="6"/>
      <c r="B26" s="29"/>
      <c r="C26" s="25">
        <v>2330</v>
      </c>
      <c r="D26" s="26" t="s">
        <v>23</v>
      </c>
      <c r="E26" s="27"/>
      <c r="F26" s="27">
        <f>3600/12</f>
        <v>300</v>
      </c>
      <c r="G26" s="19">
        <f t="shared" si="1"/>
        <v>300</v>
      </c>
      <c r="H26" s="7"/>
      <c r="I26" s="1"/>
    </row>
    <row r="27" spans="1:9" ht="18.75" x14ac:dyDescent="0.3">
      <c r="A27" s="6"/>
      <c r="B27" s="29"/>
      <c r="C27" s="25">
        <v>2340</v>
      </c>
      <c r="D27" s="26" t="s">
        <v>24</v>
      </c>
      <c r="E27" s="27"/>
      <c r="F27" s="27">
        <f>13100/12</f>
        <v>1091.6666666666667</v>
      </c>
      <c r="G27" s="19">
        <f t="shared" si="1"/>
        <v>1091.6666666666667</v>
      </c>
      <c r="H27" s="7"/>
      <c r="I27" s="1"/>
    </row>
    <row r="28" spans="1:9" ht="18.75" x14ac:dyDescent="0.3">
      <c r="A28" s="6"/>
      <c r="B28" s="29"/>
      <c r="C28" s="25">
        <v>2310</v>
      </c>
      <c r="D28" s="26" t="s">
        <v>25</v>
      </c>
      <c r="E28" s="27"/>
      <c r="F28" s="27">
        <f>1000/12</f>
        <v>83.333333333333329</v>
      </c>
      <c r="G28" s="19">
        <f t="shared" si="1"/>
        <v>83.333333333333329</v>
      </c>
      <c r="H28" s="7"/>
      <c r="I28" s="1"/>
    </row>
    <row r="29" spans="1:9" ht="18.75" x14ac:dyDescent="0.3">
      <c r="A29" s="6"/>
      <c r="B29" s="29"/>
      <c r="C29" s="25">
        <v>1100</v>
      </c>
      <c r="D29" s="26" t="s">
        <v>26</v>
      </c>
      <c r="E29" s="27"/>
      <c r="F29" s="27">
        <f>1000/12</f>
        <v>83.333333333333329</v>
      </c>
      <c r="G29" s="19">
        <f t="shared" si="1"/>
        <v>83.333333333333329</v>
      </c>
      <c r="H29" s="7"/>
      <c r="I29" s="1"/>
    </row>
    <row r="30" spans="1:9" ht="18.75" x14ac:dyDescent="0.3">
      <c r="A30" s="6"/>
      <c r="B30" s="29" t="s">
        <v>27</v>
      </c>
      <c r="C30" s="25"/>
      <c r="D30" s="26" t="s">
        <v>28</v>
      </c>
      <c r="E30" s="27"/>
      <c r="F30" s="27">
        <v>0</v>
      </c>
      <c r="G30" s="19">
        <f t="shared" si="1"/>
        <v>0</v>
      </c>
      <c r="H30" s="7"/>
      <c r="I30" s="1"/>
    </row>
    <row r="31" spans="1:9" ht="18.75" x14ac:dyDescent="0.3">
      <c r="A31" s="6"/>
      <c r="B31" s="29"/>
      <c r="C31" s="25">
        <v>2180</v>
      </c>
      <c r="D31" s="26" t="s">
        <v>29</v>
      </c>
      <c r="E31" s="27"/>
      <c r="F31" s="27"/>
      <c r="G31" s="19">
        <f t="shared" si="1"/>
        <v>0</v>
      </c>
      <c r="H31" s="7"/>
      <c r="I31" s="1"/>
    </row>
    <row r="32" spans="1:9" ht="19.5" x14ac:dyDescent="0.35">
      <c r="A32" s="6"/>
      <c r="B32" s="29"/>
      <c r="C32" s="30">
        <v>2100</v>
      </c>
      <c r="D32" s="30" t="s">
        <v>30</v>
      </c>
      <c r="E32" s="27"/>
      <c r="F32" s="27"/>
      <c r="G32" s="19">
        <f t="shared" si="1"/>
        <v>0</v>
      </c>
      <c r="H32" s="7"/>
      <c r="I32" s="1"/>
    </row>
    <row r="33" spans="1:9" ht="18.75" x14ac:dyDescent="0.3">
      <c r="A33" s="5"/>
      <c r="B33" s="29"/>
      <c r="C33" s="25">
        <v>2120</v>
      </c>
      <c r="D33" s="26" t="s">
        <v>31</v>
      </c>
      <c r="E33" s="27"/>
      <c r="F33" s="31">
        <f>2300/12</f>
        <v>191.66666666666666</v>
      </c>
      <c r="G33" s="19">
        <f t="shared" si="1"/>
        <v>191.66666666666666</v>
      </c>
      <c r="H33" s="7"/>
      <c r="I33" s="1"/>
    </row>
    <row r="34" spans="1:9" ht="18.75" x14ac:dyDescent="0.3">
      <c r="A34" s="5"/>
      <c r="B34" s="29"/>
      <c r="C34" s="25">
        <v>2135</v>
      </c>
      <c r="D34" s="26" t="s">
        <v>32</v>
      </c>
      <c r="E34" s="27"/>
      <c r="F34" s="31">
        <f>1000/12</f>
        <v>83.333333333333329</v>
      </c>
      <c r="G34" s="19">
        <f t="shared" si="1"/>
        <v>83.333333333333329</v>
      </c>
      <c r="H34" s="7"/>
      <c r="I34" s="1"/>
    </row>
    <row r="35" spans="1:9" ht="18.75" x14ac:dyDescent="0.3">
      <c r="A35" s="5"/>
      <c r="B35" s="29"/>
      <c r="C35" s="25">
        <v>2131</v>
      </c>
      <c r="D35" s="26" t="s">
        <v>33</v>
      </c>
      <c r="E35" s="27"/>
      <c r="F35" s="31">
        <f>2000/12</f>
        <v>166.66666666666666</v>
      </c>
      <c r="G35" s="19">
        <f t="shared" si="1"/>
        <v>166.66666666666666</v>
      </c>
      <c r="H35" s="7"/>
      <c r="I35" s="1"/>
    </row>
    <row r="36" spans="1:9" ht="18.75" x14ac:dyDescent="0.3">
      <c r="A36" s="5"/>
      <c r="B36" s="29"/>
      <c r="C36" s="25">
        <v>2132</v>
      </c>
      <c r="D36" s="26" t="s">
        <v>34</v>
      </c>
      <c r="E36" s="27"/>
      <c r="F36" s="31">
        <f>500/12</f>
        <v>41.666666666666664</v>
      </c>
      <c r="G36" s="19">
        <f t="shared" si="1"/>
        <v>41.666666666666664</v>
      </c>
      <c r="H36" s="5"/>
      <c r="I36" s="1"/>
    </row>
    <row r="37" spans="1:9" ht="18.75" x14ac:dyDescent="0.3">
      <c r="A37" s="5"/>
      <c r="B37" s="29"/>
      <c r="C37" s="25">
        <v>2133</v>
      </c>
      <c r="D37" s="26" t="s">
        <v>35</v>
      </c>
      <c r="E37" s="27"/>
      <c r="F37" s="31">
        <f>500/12</f>
        <v>41.666666666666664</v>
      </c>
      <c r="G37" s="19">
        <f t="shared" si="1"/>
        <v>41.666666666666664</v>
      </c>
      <c r="H37" s="5"/>
      <c r="I37" s="1"/>
    </row>
    <row r="38" spans="1:9" ht="18.75" x14ac:dyDescent="0.3">
      <c r="A38" s="5"/>
      <c r="B38" s="29"/>
      <c r="C38" s="25">
        <v>2040</v>
      </c>
      <c r="D38" s="26" t="s">
        <v>53</v>
      </c>
      <c r="E38" s="27"/>
      <c r="F38" s="31">
        <f>2000/12</f>
        <v>166.66666666666666</v>
      </c>
      <c r="G38" s="19"/>
      <c r="H38" s="5"/>
      <c r="I38" s="1"/>
    </row>
    <row r="39" spans="1:9" ht="18.75" x14ac:dyDescent="0.3">
      <c r="A39" s="5"/>
      <c r="B39" s="29"/>
      <c r="C39" s="25">
        <v>2150</v>
      </c>
      <c r="D39" s="26" t="s">
        <v>58</v>
      </c>
      <c r="E39" s="27"/>
      <c r="F39" s="31">
        <f>2500/12</f>
        <v>208.33333333333334</v>
      </c>
      <c r="G39" s="19">
        <f t="shared" ref="G39:G49" si="2">F39-E39</f>
        <v>208.33333333333334</v>
      </c>
      <c r="H39" s="7"/>
      <c r="I39" s="1"/>
    </row>
    <row r="40" spans="1:9" ht="18.75" x14ac:dyDescent="0.3">
      <c r="A40" s="6"/>
      <c r="B40" s="29"/>
      <c r="C40" s="25">
        <v>2170</v>
      </c>
      <c r="D40" s="26" t="s">
        <v>36</v>
      </c>
      <c r="E40" s="27"/>
      <c r="F40" s="31">
        <f>2000/12</f>
        <v>166.66666666666666</v>
      </c>
      <c r="G40" s="19">
        <f t="shared" si="2"/>
        <v>166.66666666666666</v>
      </c>
      <c r="H40" s="7"/>
      <c r="I40" s="1"/>
    </row>
    <row r="41" spans="1:9" ht="18.75" x14ac:dyDescent="0.3">
      <c r="A41" s="6"/>
      <c r="B41" s="29"/>
      <c r="C41" s="25">
        <v>2110</v>
      </c>
      <c r="D41" s="26" t="s">
        <v>37</v>
      </c>
      <c r="E41" s="22"/>
      <c r="F41" s="31">
        <f>1200/12</f>
        <v>100</v>
      </c>
      <c r="G41" s="19">
        <f t="shared" si="2"/>
        <v>100</v>
      </c>
      <c r="H41" s="7"/>
      <c r="I41" s="1"/>
    </row>
    <row r="42" spans="1:9" ht="18.75" x14ac:dyDescent="0.3">
      <c r="A42" s="6"/>
      <c r="B42" s="29"/>
      <c r="C42" s="25">
        <v>2200</v>
      </c>
      <c r="D42" s="26" t="s">
        <v>38</v>
      </c>
      <c r="E42" s="32"/>
      <c r="F42" s="33">
        <f>1000/12</f>
        <v>83.333333333333329</v>
      </c>
      <c r="G42" s="19">
        <f t="shared" si="2"/>
        <v>83.333333333333329</v>
      </c>
      <c r="H42" s="7"/>
      <c r="I42" s="1"/>
    </row>
    <row r="43" spans="1:9" ht="18.75" x14ac:dyDescent="0.3">
      <c r="A43" s="7"/>
      <c r="B43" s="34"/>
      <c r="C43" s="25">
        <v>1200</v>
      </c>
      <c r="D43" s="26" t="s">
        <v>39</v>
      </c>
      <c r="E43" s="22"/>
      <c r="F43" s="31">
        <f>500/12</f>
        <v>41.666666666666664</v>
      </c>
      <c r="G43" s="19">
        <f t="shared" si="2"/>
        <v>41.666666666666664</v>
      </c>
      <c r="H43" s="8"/>
      <c r="I43" s="1"/>
    </row>
    <row r="44" spans="1:9" ht="18.75" x14ac:dyDescent="0.3">
      <c r="A44" s="7"/>
      <c r="B44" s="34"/>
      <c r="C44" s="25">
        <v>4000</v>
      </c>
      <c r="D44" s="26" t="s">
        <v>40</v>
      </c>
      <c r="E44" s="22"/>
      <c r="F44" s="33">
        <f>27000/12</f>
        <v>2250</v>
      </c>
      <c r="G44" s="19">
        <f t="shared" si="2"/>
        <v>2250</v>
      </c>
      <c r="H44" s="8"/>
    </row>
    <row r="45" spans="1:9" ht="18.75" x14ac:dyDescent="0.3">
      <c r="A45" s="6"/>
      <c r="B45" s="29"/>
      <c r="C45" s="25">
        <v>2190</v>
      </c>
      <c r="D45" s="26" t="s">
        <v>41</v>
      </c>
      <c r="E45" s="27"/>
      <c r="F45" s="33">
        <f>5000/12</f>
        <v>416.66666666666669</v>
      </c>
      <c r="G45" s="19">
        <f t="shared" si="2"/>
        <v>416.66666666666669</v>
      </c>
      <c r="H45" s="7"/>
    </row>
    <row r="46" spans="1:9" ht="18.75" x14ac:dyDescent="0.3">
      <c r="A46" s="6"/>
      <c r="B46" s="29"/>
      <c r="C46" s="25">
        <v>2012</v>
      </c>
      <c r="D46" s="26" t="s">
        <v>42</v>
      </c>
      <c r="E46" s="27"/>
      <c r="F46" s="27"/>
      <c r="G46" s="19">
        <f t="shared" si="2"/>
        <v>0</v>
      </c>
      <c r="H46" s="7"/>
    </row>
    <row r="47" spans="1:9" ht="18.75" x14ac:dyDescent="0.3">
      <c r="A47" s="6"/>
      <c r="B47" s="29"/>
      <c r="C47" s="25"/>
      <c r="D47" s="26"/>
      <c r="E47" s="27"/>
      <c r="F47" s="27"/>
      <c r="G47" s="19">
        <f t="shared" si="2"/>
        <v>0</v>
      </c>
      <c r="H47" s="7"/>
    </row>
    <row r="48" spans="1:9" ht="18.75" x14ac:dyDescent="0.3">
      <c r="A48" s="6"/>
      <c r="B48" s="29"/>
      <c r="C48" s="25"/>
      <c r="D48" s="26"/>
      <c r="E48" s="27"/>
      <c r="F48" s="27"/>
      <c r="G48" s="19">
        <f t="shared" si="2"/>
        <v>0</v>
      </c>
      <c r="H48" s="7"/>
    </row>
    <row r="49" spans="1:8" ht="18.75" x14ac:dyDescent="0.3">
      <c r="A49" s="5"/>
      <c r="B49" s="15"/>
      <c r="C49" s="23"/>
      <c r="D49" s="26"/>
      <c r="E49" s="22"/>
      <c r="F49" s="35"/>
      <c r="G49" s="19">
        <f t="shared" si="2"/>
        <v>0</v>
      </c>
      <c r="H49" s="7"/>
    </row>
    <row r="50" spans="1:8" ht="18.75" x14ac:dyDescent="0.3">
      <c r="A50" s="5"/>
      <c r="B50" s="82" t="s">
        <v>43</v>
      </c>
      <c r="C50" s="83"/>
      <c r="D50" s="15"/>
      <c r="E50" s="3">
        <f>SUM(E6+E9-E22)</f>
        <v>0</v>
      </c>
      <c r="F50" s="36"/>
      <c r="G50" s="19"/>
      <c r="H50" s="7"/>
    </row>
    <row r="51" spans="1:8" ht="18.75" x14ac:dyDescent="0.3">
      <c r="A51" s="5"/>
      <c r="B51" s="84" t="s">
        <v>44</v>
      </c>
      <c r="C51" s="85"/>
      <c r="D51" s="37"/>
      <c r="E51" s="4">
        <f>SUM(E9-E22)</f>
        <v>0</v>
      </c>
      <c r="F51" s="38"/>
      <c r="G51" s="19"/>
      <c r="H51" s="7"/>
    </row>
    <row r="52" spans="1:8" ht="18.75" x14ac:dyDescent="0.3">
      <c r="A52" s="5"/>
      <c r="B52" s="39" t="s">
        <v>45</v>
      </c>
      <c r="C52" s="40"/>
      <c r="D52" s="40"/>
      <c r="E52" s="40"/>
      <c r="F52" s="40"/>
      <c r="G52" s="40"/>
      <c r="H52" s="7"/>
    </row>
    <row r="53" spans="1:8" ht="18.75" customHeight="1" x14ac:dyDescent="0.3">
      <c r="A53" s="5"/>
      <c r="B53" s="84" t="s">
        <v>61</v>
      </c>
      <c r="C53" s="85"/>
      <c r="D53" s="14">
        <v>25519.26</v>
      </c>
      <c r="E53" s="41"/>
      <c r="F53" s="41"/>
      <c r="H53" s="7"/>
    </row>
    <row r="54" spans="1:8" ht="18.75" customHeight="1" x14ac:dyDescent="0.3">
      <c r="A54" s="5"/>
      <c r="B54" s="84" t="s">
        <v>62</v>
      </c>
      <c r="C54" s="85"/>
      <c r="D54" s="14">
        <v>77110.23</v>
      </c>
      <c r="E54" s="41"/>
      <c r="F54" s="41"/>
      <c r="H54" s="7"/>
    </row>
    <row r="55" spans="1:8" ht="18.75" x14ac:dyDescent="0.3">
      <c r="A55" s="5"/>
      <c r="B55" s="86" t="s">
        <v>55</v>
      </c>
      <c r="C55" s="87"/>
      <c r="D55" s="14">
        <f>D54-D56-D57</f>
        <v>19618.109999999993</v>
      </c>
      <c r="E55" s="41"/>
      <c r="F55" s="41"/>
      <c r="H55" s="7"/>
    </row>
    <row r="56" spans="1:8" ht="18.75" customHeight="1" x14ac:dyDescent="0.3">
      <c r="A56" s="5"/>
      <c r="B56" s="84" t="s">
        <v>63</v>
      </c>
      <c r="C56" s="85"/>
      <c r="D56" s="14">
        <v>24000</v>
      </c>
      <c r="E56" s="41"/>
      <c r="F56" s="41"/>
      <c r="H56" s="7"/>
    </row>
    <row r="57" spans="1:8" ht="18.75" x14ac:dyDescent="0.3">
      <c r="A57" s="5"/>
      <c r="B57" s="86" t="s">
        <v>64</v>
      </c>
      <c r="C57" s="87"/>
      <c r="D57" s="14">
        <f>33492.12</f>
        <v>33492.120000000003</v>
      </c>
      <c r="E57" s="41"/>
      <c r="F57" s="41"/>
      <c r="H57" s="7"/>
    </row>
    <row r="58" spans="1:8" ht="18.75" x14ac:dyDescent="0.3">
      <c r="A58" s="5"/>
      <c r="B58" s="5"/>
      <c r="C58" s="5"/>
      <c r="D58" s="5"/>
      <c r="E58" s="5"/>
      <c r="F58" s="5"/>
      <c r="G58" s="5"/>
      <c r="H58" s="7"/>
    </row>
    <row r="59" spans="1:8" ht="15.75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</sheetData>
  <mergeCells count="12">
    <mergeCell ref="A61:H61"/>
    <mergeCell ref="B2:G2"/>
    <mergeCell ref="B3:G3"/>
    <mergeCell ref="B50:C50"/>
    <mergeCell ref="B51:C51"/>
    <mergeCell ref="B53:C53"/>
    <mergeCell ref="B54:C54"/>
    <mergeCell ref="B55:C55"/>
    <mergeCell ref="B56:C56"/>
    <mergeCell ref="B57:C57"/>
    <mergeCell ref="A59:H59"/>
    <mergeCell ref="A60:H60"/>
  </mergeCells>
  <conditionalFormatting sqref="G9">
    <cfRule type="cellIs" dxfId="7" priority="1" operator="lessThan">
      <formula>0</formula>
    </cfRule>
    <cfRule type="cellIs" dxfId="6" priority="2" operator="greaterThan">
      <formula>0.01</formula>
    </cfRule>
  </conditionalFormatting>
  <conditionalFormatting sqref="G22">
    <cfRule type="cellIs" dxfId="5" priority="3" operator="lessThan">
      <formula>0</formula>
    </cfRule>
    <cfRule type="cellIs" dxfId="4" priority="4" operator="greaterThan">
      <formula>0.01</formula>
    </cfRule>
  </conditionalFormatting>
  <pageMargins left="0.7" right="0.7" top="0.75" bottom="0.75" header="0.3" footer="0.3"/>
  <ignoredErrors>
    <ignoredError sqref="F3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showGridLines="0" workbookViewId="0">
      <selection activeCell="A61" sqref="A61:H61"/>
    </sheetView>
  </sheetViews>
  <sheetFormatPr defaultColWidth="14.42578125" defaultRowHeight="15" customHeight="1" x14ac:dyDescent="0.25"/>
  <cols>
    <col min="1" max="1" width="4.42578125" customWidth="1"/>
    <col min="2" max="2" width="25.5703125" bestFit="1" customWidth="1"/>
    <col min="3" max="3" width="42.85546875" bestFit="1" customWidth="1"/>
    <col min="4" max="4" width="42.140625" bestFit="1" customWidth="1"/>
    <col min="5" max="6" width="16" bestFit="1" customWidth="1"/>
    <col min="7" max="7" width="15.28515625" bestFit="1" customWidth="1"/>
    <col min="8" max="8" width="4.7109375" customWidth="1"/>
  </cols>
  <sheetData>
    <row r="1" spans="1:8" ht="15.75" thickBot="1" x14ac:dyDescent="0.3">
      <c r="A1" s="9"/>
      <c r="B1" s="9"/>
      <c r="C1" s="9"/>
      <c r="D1" s="9"/>
      <c r="E1" s="9"/>
      <c r="F1" s="9"/>
      <c r="G1" s="9"/>
      <c r="H1" s="5"/>
    </row>
    <row r="2" spans="1:8" ht="50.25" customHeight="1" x14ac:dyDescent="0.25">
      <c r="A2" s="9"/>
      <c r="B2" s="70" t="s">
        <v>60</v>
      </c>
      <c r="C2" s="71"/>
      <c r="D2" s="71"/>
      <c r="E2" s="71"/>
      <c r="F2" s="71"/>
      <c r="G2" s="72"/>
      <c r="H2" s="5"/>
    </row>
    <row r="3" spans="1:8" ht="18.75" x14ac:dyDescent="0.3">
      <c r="A3" s="9"/>
      <c r="B3" s="89" t="s">
        <v>57</v>
      </c>
      <c r="C3" s="88"/>
      <c r="D3" s="88"/>
      <c r="E3" s="88"/>
      <c r="F3" s="88"/>
      <c r="G3" s="88"/>
      <c r="H3" s="7"/>
    </row>
    <row r="4" spans="1:8" ht="15" customHeight="1" x14ac:dyDescent="0.3">
      <c r="A4" s="9"/>
      <c r="B4" s="46"/>
      <c r="C4" s="46"/>
      <c r="D4" s="46"/>
      <c r="E4" s="47" t="s">
        <v>0</v>
      </c>
      <c r="F4" s="48" t="s">
        <v>1</v>
      </c>
      <c r="G4" s="48" t="s">
        <v>2</v>
      </c>
      <c r="H4" s="7"/>
    </row>
    <row r="5" spans="1:8" ht="15" customHeight="1" x14ac:dyDescent="0.3">
      <c r="A5" s="9"/>
      <c r="B5" s="49" t="s">
        <v>3</v>
      </c>
      <c r="C5" s="46"/>
      <c r="D5" s="46"/>
      <c r="E5" s="50">
        <f t="shared" ref="E5:F5" si="0">SUM(E7:E8)</f>
        <v>12.46</v>
      </c>
      <c r="F5" s="50">
        <f t="shared" si="0"/>
        <v>0</v>
      </c>
      <c r="G5" s="50">
        <f t="shared" ref="G5:G21" si="1">E5-F5</f>
        <v>12.46</v>
      </c>
      <c r="H5" s="7"/>
    </row>
    <row r="6" spans="1:8" ht="15" customHeight="1" x14ac:dyDescent="0.3">
      <c r="A6" s="9"/>
      <c r="B6" s="51" t="s">
        <v>4</v>
      </c>
      <c r="C6" s="46"/>
      <c r="D6" s="46"/>
      <c r="E6" s="50">
        <f>E8</f>
        <v>12.46</v>
      </c>
      <c r="F6" s="50">
        <f t="shared" ref="F6" si="2">SUM(F7:F8)</f>
        <v>0</v>
      </c>
      <c r="G6" s="50">
        <f t="shared" si="1"/>
        <v>12.46</v>
      </c>
      <c r="H6" s="7"/>
    </row>
    <row r="7" spans="1:8" ht="15" customHeight="1" x14ac:dyDescent="0.3">
      <c r="A7" s="10"/>
      <c r="B7" s="52"/>
      <c r="C7" s="52" t="s">
        <v>5</v>
      </c>
      <c r="D7" s="52"/>
      <c r="E7" s="54">
        <v>0</v>
      </c>
      <c r="F7" s="54">
        <v>0</v>
      </c>
      <c r="G7" s="50">
        <f t="shared" si="1"/>
        <v>0</v>
      </c>
      <c r="H7" s="7"/>
    </row>
    <row r="8" spans="1:8" ht="15" customHeight="1" x14ac:dyDescent="0.3">
      <c r="A8" s="10"/>
      <c r="B8" s="52"/>
      <c r="C8" s="52" t="s">
        <v>6</v>
      </c>
      <c r="D8" s="52"/>
      <c r="E8" s="54">
        <f>'Jan 2021'!E8+'Feb 2021'!E8+'March 2021'!E8+'March 2021'!E8</f>
        <v>12.46</v>
      </c>
      <c r="F8" s="54">
        <v>0</v>
      </c>
      <c r="G8" s="50">
        <f t="shared" si="1"/>
        <v>12.46</v>
      </c>
      <c r="H8" s="7"/>
    </row>
    <row r="9" spans="1:8" ht="15" customHeight="1" x14ac:dyDescent="0.3">
      <c r="A9" s="10"/>
      <c r="B9" s="51" t="s">
        <v>7</v>
      </c>
      <c r="C9" s="52"/>
      <c r="D9" s="52"/>
      <c r="E9" s="50">
        <f t="shared" ref="E9:F9" si="3">SUM(E10:E21)</f>
        <v>7759.08</v>
      </c>
      <c r="F9" s="50">
        <f t="shared" si="3"/>
        <v>92467.839999999997</v>
      </c>
      <c r="G9" s="50">
        <f t="shared" si="1"/>
        <v>-84708.76</v>
      </c>
      <c r="H9" s="7"/>
    </row>
    <row r="10" spans="1:8" ht="15" customHeight="1" x14ac:dyDescent="0.3">
      <c r="A10" s="10"/>
      <c r="B10" s="52"/>
      <c r="C10" s="52" t="s">
        <v>8</v>
      </c>
      <c r="D10" s="52"/>
      <c r="E10" s="54"/>
      <c r="F10" s="54">
        <v>0</v>
      </c>
      <c r="G10" s="50">
        <f t="shared" si="1"/>
        <v>0</v>
      </c>
      <c r="H10" s="7"/>
    </row>
    <row r="11" spans="1:8" ht="15" customHeight="1" x14ac:dyDescent="0.3">
      <c r="A11" s="10"/>
      <c r="B11" s="52"/>
      <c r="C11" s="52" t="s">
        <v>9</v>
      </c>
      <c r="D11" s="52"/>
      <c r="E11" s="54"/>
      <c r="F11" s="54">
        <v>0</v>
      </c>
      <c r="G11" s="50">
        <f t="shared" si="1"/>
        <v>0</v>
      </c>
      <c r="H11" s="7"/>
    </row>
    <row r="12" spans="1:8" ht="15" customHeight="1" x14ac:dyDescent="0.3">
      <c r="A12" s="10"/>
      <c r="B12" s="52"/>
      <c r="C12" s="52" t="s">
        <v>10</v>
      </c>
      <c r="D12" s="52"/>
      <c r="E12" s="54"/>
      <c r="F12" s="54">
        <v>0</v>
      </c>
      <c r="G12" s="50">
        <f t="shared" si="1"/>
        <v>0</v>
      </c>
      <c r="H12" s="7"/>
    </row>
    <row r="13" spans="1:8" ht="15" customHeight="1" x14ac:dyDescent="0.3">
      <c r="A13" s="10"/>
      <c r="B13" s="52"/>
      <c r="C13" s="52" t="s">
        <v>11</v>
      </c>
      <c r="D13" s="52"/>
      <c r="E13" s="54"/>
      <c r="F13" s="54">
        <v>0</v>
      </c>
      <c r="G13" s="50">
        <f t="shared" si="1"/>
        <v>0</v>
      </c>
      <c r="H13" s="7"/>
    </row>
    <row r="14" spans="1:8" ht="15" customHeight="1" x14ac:dyDescent="0.3">
      <c r="A14" s="10"/>
      <c r="B14" s="52"/>
      <c r="C14" s="52" t="s">
        <v>12</v>
      </c>
      <c r="D14" s="52"/>
      <c r="E14" s="54">
        <f>'Jan 2021'!E14+'Feb 2021'!E14</f>
        <v>3866</v>
      </c>
      <c r="F14" s="54">
        <f>92467.84</f>
        <v>92467.839999999997</v>
      </c>
      <c r="G14" s="50">
        <f t="shared" si="1"/>
        <v>-88601.84</v>
      </c>
      <c r="H14" s="7"/>
    </row>
    <row r="15" spans="1:8" ht="15" customHeight="1" x14ac:dyDescent="0.3">
      <c r="A15" s="10"/>
      <c r="B15" s="52"/>
      <c r="C15" s="52" t="s">
        <v>13</v>
      </c>
      <c r="D15" s="52"/>
      <c r="E15" s="54">
        <f>'Jan 2021'!E15+'Feb 2021'!E15</f>
        <v>3888.91</v>
      </c>
      <c r="F15" s="54">
        <v>0</v>
      </c>
      <c r="G15" s="50">
        <f t="shared" si="1"/>
        <v>3888.91</v>
      </c>
      <c r="H15" s="7"/>
    </row>
    <row r="16" spans="1:8" ht="15" customHeight="1" x14ac:dyDescent="0.3">
      <c r="A16" s="9"/>
      <c r="B16" s="53"/>
      <c r="C16" s="52" t="s">
        <v>14</v>
      </c>
      <c r="D16" s="53"/>
      <c r="E16" s="54"/>
      <c r="F16" s="54">
        <v>0</v>
      </c>
      <c r="G16" s="50">
        <f t="shared" si="1"/>
        <v>0</v>
      </c>
      <c r="H16" s="7"/>
    </row>
    <row r="17" spans="1:8" ht="15" customHeight="1" x14ac:dyDescent="0.3">
      <c r="A17" s="9"/>
      <c r="B17" s="53"/>
      <c r="C17" s="52" t="s">
        <v>15</v>
      </c>
      <c r="D17" s="53"/>
      <c r="E17" s="54"/>
      <c r="F17" s="54">
        <v>0</v>
      </c>
      <c r="G17" s="50">
        <f t="shared" si="1"/>
        <v>0</v>
      </c>
      <c r="H17" s="7"/>
    </row>
    <row r="18" spans="1:8" ht="15" customHeight="1" x14ac:dyDescent="0.3">
      <c r="A18" s="9"/>
      <c r="B18" s="53"/>
      <c r="C18" s="52" t="s">
        <v>16</v>
      </c>
      <c r="D18" s="53"/>
      <c r="E18" s="54"/>
      <c r="F18" s="54">
        <v>0</v>
      </c>
      <c r="G18" s="50">
        <f t="shared" si="1"/>
        <v>0</v>
      </c>
      <c r="H18" s="7"/>
    </row>
    <row r="19" spans="1:8" ht="15" customHeight="1" x14ac:dyDescent="0.3">
      <c r="A19" s="9"/>
      <c r="B19" s="53"/>
      <c r="C19" s="52" t="s">
        <v>17</v>
      </c>
      <c r="D19" s="53"/>
      <c r="E19" s="54"/>
      <c r="F19" s="54">
        <v>0</v>
      </c>
      <c r="G19" s="50">
        <f t="shared" si="1"/>
        <v>0</v>
      </c>
      <c r="H19" s="7"/>
    </row>
    <row r="20" spans="1:8" ht="15" customHeight="1" x14ac:dyDescent="0.3">
      <c r="A20" s="9"/>
      <c r="B20" s="53"/>
      <c r="C20" s="52" t="s">
        <v>18</v>
      </c>
      <c r="D20" s="53"/>
      <c r="E20" s="54"/>
      <c r="F20" s="54">
        <v>0</v>
      </c>
      <c r="G20" s="50">
        <f t="shared" si="1"/>
        <v>0</v>
      </c>
      <c r="H20" s="7"/>
    </row>
    <row r="21" spans="1:8" ht="15.75" customHeight="1" x14ac:dyDescent="0.3">
      <c r="A21" s="9"/>
      <c r="B21" s="53"/>
      <c r="C21" s="52" t="s">
        <v>52</v>
      </c>
      <c r="D21" s="53"/>
      <c r="E21" s="54">
        <f>'Jan 2021'!E21+'Feb 2021'!E21</f>
        <v>4.17</v>
      </c>
      <c r="F21" s="54">
        <v>0</v>
      </c>
      <c r="G21" s="50">
        <f t="shared" si="1"/>
        <v>4.17</v>
      </c>
      <c r="H21" s="7"/>
    </row>
    <row r="22" spans="1:8" ht="15.75" customHeight="1" x14ac:dyDescent="0.3">
      <c r="A22" s="9"/>
      <c r="B22" s="49" t="s">
        <v>19</v>
      </c>
      <c r="C22" s="46"/>
      <c r="D22" s="46"/>
      <c r="E22" s="55">
        <f>SUM(E23:E49)</f>
        <v>12309.5</v>
      </c>
      <c r="F22" s="55">
        <f>SUM(F23:F49)</f>
        <v>92467.839999999997</v>
      </c>
      <c r="G22" s="50">
        <f>F22-E22</f>
        <v>80158.34</v>
      </c>
      <c r="H22" s="7"/>
    </row>
    <row r="23" spans="1:8" ht="15.75" customHeight="1" x14ac:dyDescent="0.25">
      <c r="A23" s="9"/>
      <c r="B23" s="52"/>
      <c r="C23" s="52">
        <v>3000</v>
      </c>
      <c r="D23" s="53" t="s">
        <v>20</v>
      </c>
      <c r="E23" s="43">
        <f>'Jan 2021'!E23+'Feb 2021'!E23</f>
        <v>1574.64</v>
      </c>
      <c r="F23" s="43">
        <f>9447.84</f>
        <v>9447.84</v>
      </c>
      <c r="G23" s="50">
        <f>F23-E23</f>
        <v>7873.2</v>
      </c>
      <c r="H23" s="5"/>
    </row>
    <row r="24" spans="1:8" ht="15.75" customHeight="1" x14ac:dyDescent="0.25">
      <c r="A24" s="9"/>
      <c r="B24" s="52"/>
      <c r="C24" s="52">
        <v>2350</v>
      </c>
      <c r="D24" s="53" t="s">
        <v>21</v>
      </c>
      <c r="E24" s="43">
        <f>'Jan 2021'!E24+'Feb 2021'!E24</f>
        <v>472.12</v>
      </c>
      <c r="F24" s="43">
        <f>5020</f>
        <v>5020</v>
      </c>
      <c r="G24" s="50">
        <f t="shared" ref="G24:G49" si="4">F24-E24</f>
        <v>4547.88</v>
      </c>
      <c r="H24" s="5"/>
    </row>
    <row r="25" spans="1:8" ht="15.75" customHeight="1" x14ac:dyDescent="0.3">
      <c r="A25" s="10"/>
      <c r="B25" s="56"/>
      <c r="C25" s="52">
        <v>2320</v>
      </c>
      <c r="D25" s="53" t="s">
        <v>22</v>
      </c>
      <c r="E25" s="43">
        <f>'Jan 2021'!E25+'Feb 2021'!E25</f>
        <v>1290.7</v>
      </c>
      <c r="F25" s="43">
        <f>14300</f>
        <v>14300</v>
      </c>
      <c r="G25" s="50">
        <f t="shared" si="4"/>
        <v>13009.3</v>
      </c>
      <c r="H25" s="7"/>
    </row>
    <row r="26" spans="1:8" ht="15.75" customHeight="1" x14ac:dyDescent="0.3">
      <c r="A26" s="10"/>
      <c r="B26" s="56"/>
      <c r="C26" s="52">
        <v>2330</v>
      </c>
      <c r="D26" s="53" t="s">
        <v>23</v>
      </c>
      <c r="E26" s="43">
        <f>'Jan 2021'!E26+'Feb 2021'!E26</f>
        <v>290.7</v>
      </c>
      <c r="F26" s="43">
        <f>3600</f>
        <v>3600</v>
      </c>
      <c r="G26" s="50">
        <f t="shared" si="4"/>
        <v>3309.3</v>
      </c>
      <c r="H26" s="7"/>
    </row>
    <row r="27" spans="1:8" ht="15.75" customHeight="1" x14ac:dyDescent="0.3">
      <c r="A27" s="10"/>
      <c r="B27" s="56"/>
      <c r="C27" s="52">
        <v>2340</v>
      </c>
      <c r="D27" s="53" t="s">
        <v>24</v>
      </c>
      <c r="E27" s="43">
        <f>'Jan 2021'!E27+'Feb 2021'!E27</f>
        <v>1923.59</v>
      </c>
      <c r="F27" s="43">
        <f>13100</f>
        <v>13100</v>
      </c>
      <c r="G27" s="50">
        <f t="shared" si="4"/>
        <v>11176.41</v>
      </c>
      <c r="H27" s="7"/>
    </row>
    <row r="28" spans="1:8" ht="15.75" customHeight="1" x14ac:dyDescent="0.3">
      <c r="A28" s="10"/>
      <c r="B28" s="56"/>
      <c r="C28" s="52">
        <v>2310</v>
      </c>
      <c r="D28" s="53" t="s">
        <v>25</v>
      </c>
      <c r="E28" s="43">
        <f>'Jan 2021'!E28+'Feb 2021'!E28</f>
        <v>7.75</v>
      </c>
      <c r="F28" s="43">
        <f>1000</f>
        <v>1000</v>
      </c>
      <c r="G28" s="50">
        <f t="shared" si="4"/>
        <v>992.25</v>
      </c>
      <c r="H28" s="7"/>
    </row>
    <row r="29" spans="1:8" ht="15.75" customHeight="1" x14ac:dyDescent="0.3">
      <c r="A29" s="10"/>
      <c r="B29" s="56"/>
      <c r="C29" s="52">
        <v>1100</v>
      </c>
      <c r="D29" s="53" t="s">
        <v>26</v>
      </c>
      <c r="E29" s="43">
        <f>'Jan 2021'!E29+'Feb 2021'!E29</f>
        <v>0</v>
      </c>
      <c r="F29" s="43">
        <f>1000</f>
        <v>1000</v>
      </c>
      <c r="G29" s="50">
        <f t="shared" si="4"/>
        <v>1000</v>
      </c>
      <c r="H29" s="7"/>
    </row>
    <row r="30" spans="1:8" ht="15.75" customHeight="1" x14ac:dyDescent="0.3">
      <c r="A30" s="10"/>
      <c r="B30" s="56" t="s">
        <v>27</v>
      </c>
      <c r="C30" s="52"/>
      <c r="D30" s="53" t="s">
        <v>28</v>
      </c>
      <c r="E30" s="43">
        <f>'Jan 2021'!E30+'Feb 2021'!E30</f>
        <v>0</v>
      </c>
      <c r="F30" s="43">
        <v>0</v>
      </c>
      <c r="G30" s="50">
        <f t="shared" si="4"/>
        <v>0</v>
      </c>
      <c r="H30" s="7"/>
    </row>
    <row r="31" spans="1:8" ht="15.75" customHeight="1" x14ac:dyDescent="0.3">
      <c r="A31" s="10"/>
      <c r="B31" s="56"/>
      <c r="C31" s="52">
        <v>2180</v>
      </c>
      <c r="D31" s="53" t="s">
        <v>29</v>
      </c>
      <c r="E31" s="43">
        <f>'Jan 2021'!E31+'Feb 2021'!F31</f>
        <v>0</v>
      </c>
      <c r="F31" s="43">
        <v>0</v>
      </c>
      <c r="G31" s="50">
        <f t="shared" si="4"/>
        <v>0</v>
      </c>
      <c r="H31" s="7"/>
    </row>
    <row r="32" spans="1:8" ht="15.75" customHeight="1" x14ac:dyDescent="0.3">
      <c r="A32" s="10"/>
      <c r="B32" s="56"/>
      <c r="C32" s="57">
        <v>2100</v>
      </c>
      <c r="D32" s="57" t="s">
        <v>30</v>
      </c>
      <c r="E32" s="43"/>
      <c r="F32" s="43"/>
      <c r="G32" s="50">
        <f t="shared" si="4"/>
        <v>0</v>
      </c>
      <c r="H32" s="7"/>
    </row>
    <row r="33" spans="1:8" ht="15.75" customHeight="1" x14ac:dyDescent="0.3">
      <c r="A33" s="9"/>
      <c r="B33" s="56"/>
      <c r="C33" s="52">
        <v>2120</v>
      </c>
      <c r="D33" s="53" t="s">
        <v>31</v>
      </c>
      <c r="E33" s="43">
        <f>'Jan 2021'!E33+'Feb 2021'!E33</f>
        <v>0</v>
      </c>
      <c r="F33" s="44">
        <f>2300</f>
        <v>2300</v>
      </c>
      <c r="G33" s="50">
        <f t="shared" si="4"/>
        <v>2300</v>
      </c>
      <c r="H33" s="7"/>
    </row>
    <row r="34" spans="1:8" ht="15.75" customHeight="1" x14ac:dyDescent="0.3">
      <c r="A34" s="9"/>
      <c r="B34" s="56"/>
      <c r="C34" s="52">
        <v>2135</v>
      </c>
      <c r="D34" s="53" t="s">
        <v>32</v>
      </c>
      <c r="E34" s="43">
        <f>'Jan 2021'!E34+'Feb 2021'!E34</f>
        <v>0</v>
      </c>
      <c r="F34" s="44">
        <f>1000</f>
        <v>1000</v>
      </c>
      <c r="G34" s="50">
        <f t="shared" si="4"/>
        <v>1000</v>
      </c>
      <c r="H34" s="7"/>
    </row>
    <row r="35" spans="1:8" ht="15.75" customHeight="1" x14ac:dyDescent="0.3">
      <c r="A35" s="9"/>
      <c r="B35" s="56"/>
      <c r="C35" s="52">
        <v>2131</v>
      </c>
      <c r="D35" s="53" t="s">
        <v>33</v>
      </c>
      <c r="E35" s="43">
        <f>'Jan 2021'!E35+'Feb 2021'!E35</f>
        <v>0</v>
      </c>
      <c r="F35" s="44">
        <f>2000</f>
        <v>2000</v>
      </c>
      <c r="G35" s="50">
        <f t="shared" si="4"/>
        <v>2000</v>
      </c>
      <c r="H35" s="7"/>
    </row>
    <row r="36" spans="1:8" ht="15.75" customHeight="1" x14ac:dyDescent="0.25">
      <c r="A36" s="9"/>
      <c r="B36" s="56"/>
      <c r="C36" s="52">
        <v>2132</v>
      </c>
      <c r="D36" s="53" t="s">
        <v>34</v>
      </c>
      <c r="E36" s="43">
        <f>'Jan 2021'!E36+'Feb 2021'!E36</f>
        <v>0</v>
      </c>
      <c r="F36" s="44">
        <f>500</f>
        <v>500</v>
      </c>
      <c r="G36" s="50">
        <f t="shared" si="4"/>
        <v>500</v>
      </c>
      <c r="H36" s="5"/>
    </row>
    <row r="37" spans="1:8" ht="15.75" customHeight="1" x14ac:dyDescent="0.25">
      <c r="A37" s="9"/>
      <c r="B37" s="56"/>
      <c r="C37" s="52">
        <v>2133</v>
      </c>
      <c r="D37" s="53" t="s">
        <v>35</v>
      </c>
      <c r="E37" s="43">
        <f>'Jan 2021'!E37+'Feb 2021'!E37</f>
        <v>0</v>
      </c>
      <c r="F37" s="44">
        <f>500</f>
        <v>500</v>
      </c>
      <c r="G37" s="50">
        <f t="shared" si="4"/>
        <v>500</v>
      </c>
      <c r="H37" s="5"/>
    </row>
    <row r="38" spans="1:8" ht="15.75" customHeight="1" x14ac:dyDescent="0.25">
      <c r="A38" s="9"/>
      <c r="B38" s="56"/>
      <c r="C38" s="52">
        <v>2040</v>
      </c>
      <c r="D38" s="53" t="s">
        <v>53</v>
      </c>
      <c r="E38" s="43">
        <f>'Jan 2021'!E38+'Feb 2021'!E38</f>
        <v>0</v>
      </c>
      <c r="F38" s="44">
        <f>2000</f>
        <v>2000</v>
      </c>
      <c r="G38" s="50"/>
      <c r="H38" s="5"/>
    </row>
    <row r="39" spans="1:8" ht="15.75" customHeight="1" x14ac:dyDescent="0.3">
      <c r="A39" s="9"/>
      <c r="B39" s="56"/>
      <c r="C39" s="52">
        <v>2150</v>
      </c>
      <c r="D39" s="53" t="s">
        <v>59</v>
      </c>
      <c r="E39" s="43">
        <f>'Jan 2021'!E39+'Feb 2021'!E39</f>
        <v>0</v>
      </c>
      <c r="F39" s="44">
        <v>0</v>
      </c>
      <c r="G39" s="50">
        <f t="shared" si="4"/>
        <v>0</v>
      </c>
      <c r="H39" s="7"/>
    </row>
    <row r="40" spans="1:8" ht="15.75" customHeight="1" x14ac:dyDescent="0.3">
      <c r="A40" s="10"/>
      <c r="B40" s="56"/>
      <c r="C40" s="52">
        <v>2170</v>
      </c>
      <c r="D40" s="53" t="s">
        <v>36</v>
      </c>
      <c r="E40" s="43">
        <f>'Jan 2021'!E40+'Feb 2021'!E40</f>
        <v>0</v>
      </c>
      <c r="F40" s="44">
        <f>2000</f>
        <v>2000</v>
      </c>
      <c r="G40" s="50">
        <f t="shared" si="4"/>
        <v>2000</v>
      </c>
      <c r="H40" s="7"/>
    </row>
    <row r="41" spans="1:8" ht="15.75" customHeight="1" x14ac:dyDescent="0.3">
      <c r="A41" s="10"/>
      <c r="B41" s="56"/>
      <c r="C41" s="52">
        <v>2110</v>
      </c>
      <c r="D41" s="53" t="s">
        <v>37</v>
      </c>
      <c r="E41" s="54">
        <f>'Jan 2021'!E41+'Feb 2021'!E41</f>
        <v>0</v>
      </c>
      <c r="F41" s="44">
        <f>1200</f>
        <v>1200</v>
      </c>
      <c r="G41" s="50">
        <f t="shared" si="4"/>
        <v>1200</v>
      </c>
      <c r="H41" s="7"/>
    </row>
    <row r="42" spans="1:8" ht="15.75" customHeight="1" x14ac:dyDescent="0.3">
      <c r="A42" s="10"/>
      <c r="B42" s="56"/>
      <c r="C42" s="52">
        <v>2200</v>
      </c>
      <c r="D42" s="53" t="s">
        <v>38</v>
      </c>
      <c r="E42" s="43">
        <f>'Jan 2021'!E42+'Feb 2021'!E42</f>
        <v>0</v>
      </c>
      <c r="F42" s="45">
        <f>1000</f>
        <v>1000</v>
      </c>
      <c r="G42" s="50">
        <f t="shared" si="4"/>
        <v>1000</v>
      </c>
      <c r="H42" s="7"/>
    </row>
    <row r="43" spans="1:8" ht="15.75" customHeight="1" x14ac:dyDescent="0.3">
      <c r="A43" s="11"/>
      <c r="B43" s="58"/>
      <c r="C43" s="52">
        <v>1200</v>
      </c>
      <c r="D43" s="53" t="s">
        <v>39</v>
      </c>
      <c r="E43" s="54">
        <f>'Jan 2021'!E43+'Feb 2021'!E43</f>
        <v>0</v>
      </c>
      <c r="F43" s="44">
        <f>500</f>
        <v>500</v>
      </c>
      <c r="G43" s="50">
        <f t="shared" si="4"/>
        <v>500</v>
      </c>
      <c r="H43" s="8"/>
    </row>
    <row r="44" spans="1:8" ht="15.75" customHeight="1" x14ac:dyDescent="0.3">
      <c r="A44" s="11"/>
      <c r="B44" s="58"/>
      <c r="C44" s="52">
        <v>4000</v>
      </c>
      <c r="D44" s="53" t="s">
        <v>40</v>
      </c>
      <c r="E44" s="54">
        <f>'Jan 2021'!E44+'Feb 2021'!E44</f>
        <v>6000</v>
      </c>
      <c r="F44" s="45">
        <f>27000</f>
        <v>27000</v>
      </c>
      <c r="G44" s="50">
        <f t="shared" si="4"/>
        <v>21000</v>
      </c>
      <c r="H44" s="8"/>
    </row>
    <row r="45" spans="1:8" ht="15.75" customHeight="1" x14ac:dyDescent="0.3">
      <c r="A45" s="10"/>
      <c r="B45" s="56"/>
      <c r="C45" s="52">
        <v>2190</v>
      </c>
      <c r="D45" s="53" t="s">
        <v>41</v>
      </c>
      <c r="E45" s="43">
        <f>'Jan 2021'!E45+'Feb 2021'!E45</f>
        <v>750</v>
      </c>
      <c r="F45" s="45">
        <f>5000</f>
        <v>5000</v>
      </c>
      <c r="G45" s="50">
        <f t="shared" si="4"/>
        <v>4250</v>
      </c>
      <c r="H45" s="7"/>
    </row>
    <row r="46" spans="1:8" ht="15.75" customHeight="1" x14ac:dyDescent="0.3">
      <c r="A46" s="10"/>
      <c r="B46" s="56"/>
      <c r="C46" s="52">
        <v>2012</v>
      </c>
      <c r="D46" s="53" t="s">
        <v>42</v>
      </c>
      <c r="E46" s="43">
        <f>'Jan 2021'!E46+'Feb 2021'!E46</f>
        <v>0</v>
      </c>
      <c r="F46" s="43">
        <v>0</v>
      </c>
      <c r="G46" s="50">
        <f t="shared" si="4"/>
        <v>0</v>
      </c>
      <c r="H46" s="7"/>
    </row>
    <row r="47" spans="1:8" ht="15.75" customHeight="1" x14ac:dyDescent="0.3">
      <c r="A47" s="10"/>
      <c r="B47" s="56"/>
      <c r="C47" s="52"/>
      <c r="D47" s="53"/>
      <c r="E47" s="43"/>
      <c r="F47" s="43"/>
      <c r="G47" s="50">
        <f t="shared" si="4"/>
        <v>0</v>
      </c>
      <c r="H47" s="7"/>
    </row>
    <row r="48" spans="1:8" ht="15.75" customHeight="1" x14ac:dyDescent="0.3">
      <c r="A48" s="10"/>
      <c r="B48" s="56"/>
      <c r="C48" s="52"/>
      <c r="D48" s="53"/>
      <c r="E48" s="43"/>
      <c r="F48" s="43"/>
      <c r="G48" s="50">
        <f t="shared" si="4"/>
        <v>0</v>
      </c>
      <c r="H48" s="7"/>
    </row>
    <row r="49" spans="1:8" ht="15.75" customHeight="1" x14ac:dyDescent="0.3">
      <c r="A49" s="9"/>
      <c r="B49" s="46"/>
      <c r="C49" s="53"/>
      <c r="D49" s="53"/>
      <c r="E49" s="54"/>
      <c r="F49" s="59"/>
      <c r="G49" s="50">
        <f t="shared" si="4"/>
        <v>0</v>
      </c>
      <c r="H49" s="7"/>
    </row>
    <row r="50" spans="1:8" ht="18.75" x14ac:dyDescent="0.3">
      <c r="A50" s="9"/>
      <c r="B50" s="90" t="s">
        <v>43</v>
      </c>
      <c r="C50" s="90"/>
      <c r="D50" s="46"/>
      <c r="E50" s="12">
        <f>SUM(E6+E9-E22)</f>
        <v>-4537.96</v>
      </c>
      <c r="F50" s="60"/>
      <c r="G50" s="50"/>
      <c r="H50" s="7"/>
    </row>
    <row r="51" spans="1:8" ht="18.75" x14ac:dyDescent="0.3">
      <c r="A51" s="9"/>
      <c r="B51" s="91" t="s">
        <v>44</v>
      </c>
      <c r="C51" s="91"/>
      <c r="D51" s="61"/>
      <c r="E51" s="13">
        <f>SUM(E9-E22)</f>
        <v>-4550.42</v>
      </c>
      <c r="F51" s="63"/>
      <c r="G51" s="50"/>
      <c r="H51" s="7"/>
    </row>
    <row r="52" spans="1:8" ht="18.75" x14ac:dyDescent="0.3">
      <c r="A52" s="9"/>
      <c r="B52" s="64" t="s">
        <v>45</v>
      </c>
      <c r="C52" s="65"/>
      <c r="D52" s="65"/>
      <c r="E52" s="65"/>
      <c r="F52" s="65"/>
      <c r="G52" s="65"/>
      <c r="H52" s="7"/>
    </row>
    <row r="53" spans="1:8" ht="18.75" customHeight="1" x14ac:dyDescent="0.3">
      <c r="A53" s="9"/>
      <c r="B53" s="84" t="s">
        <v>61</v>
      </c>
      <c r="C53" s="85"/>
      <c r="D53" s="66">
        <v>25519.26</v>
      </c>
      <c r="E53" s="62"/>
      <c r="F53" s="62"/>
      <c r="G53" s="42"/>
      <c r="H53" s="7"/>
    </row>
    <row r="54" spans="1:8" ht="18.75" customHeight="1" x14ac:dyDescent="0.3">
      <c r="A54" s="9"/>
      <c r="B54" s="84" t="s">
        <v>62</v>
      </c>
      <c r="C54" s="85"/>
      <c r="D54" s="66">
        <v>77097.77</v>
      </c>
      <c r="E54" s="62"/>
      <c r="F54" s="62"/>
      <c r="G54" s="42"/>
      <c r="H54" s="7"/>
    </row>
    <row r="55" spans="1:8" ht="18.75" x14ac:dyDescent="0.3">
      <c r="A55" s="9"/>
      <c r="B55" s="86" t="s">
        <v>55</v>
      </c>
      <c r="C55" s="87"/>
      <c r="D55" s="67">
        <f>D54-D56-D57</f>
        <v>19605.650000000001</v>
      </c>
      <c r="E55" s="62"/>
      <c r="F55" s="62"/>
      <c r="G55" s="42"/>
      <c r="H55" s="7"/>
    </row>
    <row r="56" spans="1:8" ht="18.75" customHeight="1" x14ac:dyDescent="0.3">
      <c r="A56" s="9"/>
      <c r="B56" s="84" t="s">
        <v>63</v>
      </c>
      <c r="C56" s="85"/>
      <c r="D56" s="67">
        <v>24000</v>
      </c>
      <c r="E56" s="62"/>
      <c r="F56" s="62"/>
      <c r="G56" s="42"/>
      <c r="H56" s="7"/>
    </row>
    <row r="57" spans="1:8" ht="18.75" x14ac:dyDescent="0.3">
      <c r="A57" s="9"/>
      <c r="B57" s="86" t="s">
        <v>64</v>
      </c>
      <c r="C57" s="87"/>
      <c r="D57" s="67">
        <f>33492.12</f>
        <v>33492.120000000003</v>
      </c>
      <c r="E57" s="62"/>
      <c r="F57" s="62"/>
      <c r="G57" s="42"/>
      <c r="H57" s="7"/>
    </row>
    <row r="58" spans="1:8" ht="15.75" customHeight="1" x14ac:dyDescent="0.3">
      <c r="A58" s="5"/>
      <c r="B58" s="5"/>
      <c r="C58" s="5"/>
      <c r="D58" s="5"/>
      <c r="E58" s="5"/>
      <c r="F58" s="5"/>
      <c r="G58" s="5"/>
      <c r="H58" s="7"/>
    </row>
    <row r="59" spans="1:8" ht="15.75" customHeight="1" x14ac:dyDescent="0.25">
      <c r="A59" s="76" t="s">
        <v>65</v>
      </c>
      <c r="B59" s="69"/>
      <c r="C59" s="69"/>
      <c r="D59" s="69"/>
      <c r="E59" s="69"/>
      <c r="F59" s="69"/>
      <c r="G59" s="69"/>
      <c r="H59" s="69"/>
    </row>
    <row r="60" spans="1:8" ht="15.75" customHeight="1" x14ac:dyDescent="0.25">
      <c r="A60" s="76" t="s">
        <v>50</v>
      </c>
      <c r="B60" s="69"/>
      <c r="C60" s="69"/>
      <c r="D60" s="69"/>
      <c r="E60" s="69"/>
      <c r="F60" s="69"/>
      <c r="G60" s="69"/>
      <c r="H60" s="69"/>
    </row>
    <row r="61" spans="1:8" ht="15.75" customHeight="1" x14ac:dyDescent="0.25">
      <c r="A61" s="76" t="s">
        <v>51</v>
      </c>
      <c r="B61" s="69"/>
      <c r="C61" s="69"/>
      <c r="D61" s="69"/>
      <c r="E61" s="69"/>
      <c r="F61" s="69"/>
      <c r="G61" s="69"/>
      <c r="H61" s="69"/>
    </row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2">
    <mergeCell ref="B2:G2"/>
    <mergeCell ref="B3:G3"/>
    <mergeCell ref="A59:H59"/>
    <mergeCell ref="A60:H60"/>
    <mergeCell ref="A61:H61"/>
    <mergeCell ref="B50:C50"/>
    <mergeCell ref="B51:C51"/>
    <mergeCell ref="B53:C53"/>
    <mergeCell ref="B54:C54"/>
    <mergeCell ref="B56:C56"/>
    <mergeCell ref="B55:C55"/>
    <mergeCell ref="B57:C57"/>
  </mergeCells>
  <conditionalFormatting sqref="G9">
    <cfRule type="cellIs" dxfId="3" priority="1" operator="lessThan">
      <formula>0</formula>
    </cfRule>
    <cfRule type="cellIs" dxfId="2" priority="2" operator="greaterThan">
      <formula>0.01</formula>
    </cfRule>
  </conditionalFormatting>
  <conditionalFormatting sqref="G22">
    <cfRule type="cellIs" dxfId="1" priority="3" operator="lessThan">
      <formula>0</formula>
    </cfRule>
    <cfRule type="cellIs" dxfId="0" priority="4" operator="greaterThan">
      <formula>0.01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 2021</vt:lpstr>
      <vt:lpstr>Feb 2021</vt:lpstr>
      <vt:lpstr>March 2021</vt:lpstr>
      <vt:lpstr>April 2021</vt:lpstr>
      <vt:lpstr>May 2021</vt:lpstr>
      <vt:lpstr>June 2021</vt:lpstr>
      <vt:lpstr>July 2021</vt:lpstr>
      <vt:lpstr>Aug 2021</vt:lpstr>
      <vt:lpstr>Sept 2021</vt:lpstr>
      <vt:lpstr>Oct 2021</vt:lpstr>
      <vt:lpstr>Nov 2021</vt:lpstr>
      <vt:lpstr>Dec 2021</vt:lpstr>
      <vt:lpstr>Year End Report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Yengkong Sayaovong</cp:lastModifiedBy>
  <cp:lastPrinted>2021-03-14T01:33:13Z</cp:lastPrinted>
  <dcterms:created xsi:type="dcterms:W3CDTF">2011-10-30T22:32:55Z</dcterms:created>
  <dcterms:modified xsi:type="dcterms:W3CDTF">2025-12-02T13:53:26Z</dcterms:modified>
</cp:coreProperties>
</file>